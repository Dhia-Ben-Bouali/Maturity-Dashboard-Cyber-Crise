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5"/>
  <workbookPr/>
  <bookViews>
    <workbookView xWindow="-108" yWindow="-108" windowWidth="19416" windowHeight="10296" tabRatio="876" firstSheet="2" activeTab="7"/>
  </bookViews>
  <sheets>
    <sheet name="PONDERATION" sheetId="10" r:id="rId1"/>
    <sheet name="Questionnaire Gestion Incidents" sheetId="16" r:id="rId2"/>
    <sheet name="Questionnaire Confirmitee" sheetId="18" r:id="rId3"/>
    <sheet name="Questionnaire Gouvernance " sheetId="23" r:id="rId4"/>
    <sheet name="Questionnaire Gestion de crise" sheetId="14" r:id="rId5"/>
    <sheet name="Question Continuité d’activité" sheetId="12" r:id="rId6"/>
    <sheet name="Questionnaire Domain Forensics" sheetId="11" r:id="rId7"/>
    <sheet name="FinalResult" sheetId="24" r:id="rId8"/>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4"/>
  <c r="I6"/>
  <c r="I7"/>
  <c r="I4"/>
  <c r="I3"/>
  <c r="I2"/>
  <c r="H6"/>
  <c r="H2"/>
  <c r="H3"/>
  <c r="H4"/>
  <c r="H5"/>
  <c r="H7"/>
  <c r="G3" l="1"/>
  <c r="G4"/>
  <c r="B2"/>
  <c r="F3"/>
  <c r="E3"/>
  <c r="E4"/>
  <c r="E5"/>
  <c r="D3"/>
  <c r="C3"/>
  <c r="C4"/>
  <c r="C5"/>
  <c r="B3"/>
  <c r="R3" i="12"/>
  <c r="N3"/>
  <c r="O3"/>
  <c r="G5" i="24"/>
  <c r="F4"/>
  <c r="F5"/>
  <c r="D4"/>
  <c r="B4"/>
  <c r="R3" i="14"/>
  <c r="N3"/>
  <c r="B5" i="24"/>
  <c r="D5"/>
  <c r="O3" i="18"/>
  <c r="E6" i="24" s="1"/>
  <c r="Q2" i="23"/>
  <c r="B7" i="24" s="1"/>
  <c r="P2" i="16"/>
  <c r="O4" i="10"/>
  <c r="O5"/>
  <c r="O6"/>
  <c r="O7"/>
  <c r="O8"/>
  <c r="O9"/>
  <c r="P10"/>
  <c r="Q10"/>
  <c r="D11"/>
  <c r="E11"/>
  <c r="F11"/>
  <c r="G11"/>
  <c r="H11"/>
  <c r="I11"/>
  <c r="O2" i="23"/>
  <c r="D7" i="24" s="1"/>
  <c r="O4" i="23"/>
  <c r="F7" i="24" s="1"/>
  <c r="O3" i="23"/>
  <c r="E7" i="24" s="1"/>
  <c r="S2" i="23" l="1"/>
  <c r="O10" i="10"/>
  <c r="L2" i="23" l="1"/>
  <c r="G7" i="24" s="1"/>
  <c r="C7"/>
  <c r="Q3" i="14"/>
  <c r="P3"/>
  <c r="O3"/>
  <c r="L3"/>
  <c r="N4" i="16"/>
  <c r="R2" s="1"/>
  <c r="N3"/>
  <c r="N2"/>
  <c r="P3" i="18"/>
  <c r="F6" i="24" s="1"/>
  <c r="N3" i="18"/>
  <c r="L3"/>
  <c r="Q3" i="12"/>
  <c r="P3"/>
  <c r="L3"/>
  <c r="S3" i="11"/>
  <c r="R3"/>
  <c r="E2" i="24" s="1"/>
  <c r="Q3" i="11"/>
  <c r="N3"/>
  <c r="L22" i="10"/>
  <c r="D21"/>
  <c r="D20"/>
  <c r="E18"/>
  <c r="F20"/>
  <c r="G19"/>
  <c r="H21"/>
  <c r="I21"/>
  <c r="D17"/>
  <c r="R3" i="18" l="1"/>
  <c r="G6" i="24" s="1"/>
  <c r="G8" s="1"/>
  <c r="D2"/>
  <c r="T3" i="11"/>
  <c r="G2" i="24" s="1"/>
  <c r="F2"/>
  <c r="P3" i="11"/>
  <c r="C2" i="24" s="1"/>
  <c r="B6"/>
  <c r="Q3" i="18"/>
  <c r="C6" i="24" s="1"/>
  <c r="D6"/>
  <c r="L2" i="16"/>
  <c r="D19" i="10"/>
  <c r="G21"/>
  <c r="F16"/>
  <c r="F17"/>
  <c r="G20"/>
  <c r="F21"/>
  <c r="E21"/>
  <c r="G16"/>
  <c r="H16"/>
  <c r="D18"/>
  <c r="F18"/>
  <c r="I16"/>
  <c r="F19"/>
  <c r="I17"/>
  <c r="I18"/>
  <c r="G17"/>
  <c r="I19"/>
  <c r="D16"/>
  <c r="G18"/>
  <c r="I20"/>
  <c r="H17"/>
  <c r="H18"/>
  <c r="H19"/>
  <c r="H20"/>
  <c r="E20"/>
  <c r="E17"/>
  <c r="E19"/>
  <c r="E16"/>
  <c r="J21" l="1"/>
  <c r="K21" s="1"/>
  <c r="J20"/>
  <c r="K20" s="1"/>
  <c r="J19"/>
  <c r="K19" s="1"/>
  <c r="J17"/>
  <c r="K17" s="1"/>
  <c r="J18"/>
  <c r="K18" s="1"/>
  <c r="J16"/>
  <c r="K16" s="1"/>
  <c r="K22" l="1"/>
</calcChain>
</file>

<file path=xl/sharedStrings.xml><?xml version="1.0" encoding="utf-8"?>
<sst xmlns="http://schemas.openxmlformats.org/spreadsheetml/2006/main" count="864" uniqueCount="615">
  <si>
    <t>Cybersecurity Governance &amp; Protection</t>
  </si>
  <si>
    <t>Gestion des incidents</t>
  </si>
  <si>
    <t>Sous Domaine</t>
  </si>
  <si>
    <t>Domain Du Continuité d’activité</t>
  </si>
  <si>
    <t>Business Impact Analysis (BIA)</t>
  </si>
  <si>
    <t>Impact Analysis</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</si>
  <si>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</si>
  <si>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</si>
  <si>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</si>
  <si>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</si>
  <si>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Are document versions controlled and up to date?</t>
  </si>
  <si>
    <t>Ensure proper version control and regular updates of the BCP to maintain accuracy, traceability, and relevance</t>
  </si>
  <si>
    <t>Recovery Strategies</t>
  </si>
  <si>
    <t>Are data backup and restoration procedures documented?</t>
  </si>
  <si>
    <t>Ensure that data backup and restoration procedures are formally documented to support effective data recovery in case of disruption.</t>
  </si>
  <si>
    <t>Are recovery strategies defined for each critical process?</t>
  </si>
  <si>
    <t>Ensure that appropriate recovery strategies are defined for each critical process to enable effective restoration of operations.</t>
  </si>
  <si>
    <t>Resource Management</t>
  </si>
  <si>
    <t>Communication Management</t>
  </si>
  <si>
    <t>Testing &amp; Exercises</t>
  </si>
  <si>
    <t>Are test results documented and analyzed?</t>
  </si>
  <si>
    <t>Ensure that test results are formally documented and analyzed to identify gaps and areas for improvement.</t>
  </si>
  <si>
    <t>Are employees aware of the BCP and their roles?</t>
  </si>
  <si>
    <t>Ensure that employees are aware of the BCP and understand their roles to enable an effective response during disruptions.</t>
  </si>
  <si>
    <t>STRATÉGIES DE CONTINUITÉ</t>
  </si>
  <si>
    <t>Stratégies IT</t>
  </si>
  <si>
    <t>Les solutions de réplication des données sont-elles mises en place ?</t>
  </si>
  <si>
    <t>S’assurer que des solutions de réplication des données sont mises en place afin de garantir la disponibilité et la résilience des données critiques.</t>
  </si>
  <si>
    <t>Les capacités de restauration sont-elles testées ?</t>
  </si>
  <si>
    <t>S’assurer que les capacités de restauration sont régulièrement testées afin de valider leur efficacité en situation réelle.</t>
  </si>
  <si>
    <t>Les données sont-elles sauvegardées régulièrement ?</t>
  </si>
  <si>
    <t>S’assurer que les données sont sauvegardées de manière régulière afin de limiter la perte de données en cas d’incident.</t>
  </si>
  <si>
    <t>Stratégies Opérationnelles</t>
  </si>
  <si>
    <t>Existe-t-il des plans de relocalisation des équipes ?</t>
  </si>
  <si>
    <t>S’assurer que des plans de relocalisation des équipes sont définis afin de maintenir les opérations en cas d’indisponibilité des sites principaux.</t>
  </si>
  <si>
    <t>Définition des Stratégies</t>
  </si>
  <si>
    <t>Les choix de stratégies sont-ils justifiés (coût, efficacité, risques) ?</t>
  </si>
  <si>
    <t>S’assurer que les choix de stratégies de continuité sont justifiés en termes de coût, d’efficacité et de risques afin d’assurer des décisions adaptées et optimisées.</t>
  </si>
  <si>
    <t>Détection et signalement</t>
  </si>
  <si>
    <t>Procédure de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</si>
  <si>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</si>
  <si>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</si>
  <si>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</si>
  <si>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Registre des incidents</t>
  </si>
  <si>
    <t>Existe-t-il un registre ou un outil de ticketing pour tracer les incidents ?</t>
  </si>
  <si>
    <t>S’assurer qu’un registre ou un outil de ticketing est utilisé pour tracer les incidents afin d’assurer la traçabilité et le suivi.</t>
  </si>
  <si>
    <t>Qualification et triage</t>
  </si>
  <si>
    <t>Grille de qualification</t>
  </si>
  <si>
    <t>Existe-t-il une grille formelle de qualification des incidents ?</t>
  </si>
  <si>
    <t>S’assurer qu’une grille formelle de qualification des incidents est disponible afin de classer et prioriser les incidents de manière cohérente.</t>
  </si>
  <si>
    <t>Critères de gravité</t>
  </si>
  <si>
    <t>Seuils d’escalade</t>
  </si>
  <si>
    <t>Des seuils d’escalade vers la gestion de crise sont-ils définis ?</t>
  </si>
  <si>
    <t>S’assurer que des seuils d’escalade vers la gestion de crise sont définis afin de déclencher rapidement les actions appropriées.</t>
  </si>
  <si>
    <t>Rôles de triage</t>
  </si>
  <si>
    <t>Confinement, éradication et remédiation</t>
  </si>
  <si>
    <t>Playbook de confinement</t>
  </si>
  <si>
    <t>Existe-t-il un playbook formel pour les scénarios d’incident majeurs ?</t>
  </si>
  <si>
    <t>S’assurer qu’un playbook formel est disponible pour les scénarios d’incidents majeurs afin de guider la réponse et réduire les erreurs.</t>
  </si>
  <si>
    <t>Procédure d’éradication</t>
  </si>
  <si>
    <t>Les actions d’éradication de la menace sont-elles documentées ?</t>
  </si>
  <si>
    <t>S’assurer que les actions d’éradication de la menace sont documentées afin de neutraliser efficacement les causes des incidents.</t>
  </si>
  <si>
    <t>Les actions correctives post-incident sont-elles définies ?</t>
  </si>
  <si>
    <t>S’assurer que les actions correctives post-incident sont définies afin de prévenir la récurrence et améliorer la sécurité globale.</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</si>
  <si>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</si>
  <si>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</si>
  <si>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</si>
  <si>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</si>
  <si>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</si>
  <si>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</si>
  <si>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</si>
  <si>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</si>
  <si>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</si>
  <si>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</si>
  <si>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</si>
  <si>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</si>
  <si>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</si>
  <si>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</si>
  <si>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</si>
  <si>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</si>
  <si>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</si>
  <si>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</si>
  <si>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</si>
  <si>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</si>
  <si>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Revue de direction et supervision</t>
  </si>
  <si>
    <t>Gestion de CRISE</t>
  </si>
  <si>
    <t>Communication de crise</t>
  </si>
  <si>
    <t>Coordination et Information</t>
  </si>
  <si>
    <t>Le personnel clé a-t-il reçu une formation sur la communication de crise ?</t>
  </si>
  <si>
    <t>S’assurer que des canaux de communication externes sont prévus afin de diffuser rapidement et clairement les informations aux parties prenantes externes.</t>
  </si>
  <si>
    <t>S’assurer que des canaux de communication internes sont prévus afin de tenir informé le personnel et les parties prenantes internes.</t>
  </si>
  <si>
    <t>Organisation et fonctionnement de la cellule</t>
  </si>
  <si>
    <t>Membership &amp; Roles</t>
  </si>
  <si>
    <t>Do members have the required skills and competencies for their roles?</t>
  </si>
  <si>
    <t>S’assurer que les membres possèdent les compétences et savoir-faire requis pour leurs rôles afin d’assurer une réponse efficace.</t>
  </si>
  <si>
    <t>Are the members of the cell appointed formally?</t>
  </si>
  <si>
    <t>S’assurer que les membres de la cellule sont officiellement nommés afin de garantir responsabilité et clarté dans la structure de crise.</t>
  </si>
  <si>
    <t>Coordination &amp; Escalation</t>
  </si>
  <si>
    <t>Process &amp; Procedures</t>
  </si>
  <si>
    <t>Existe-t-il des procédures pour évaluer la gravité d’un incident avant activation ?</t>
  </si>
  <si>
    <t>S’assurer que des procédures sont en place pour évaluer la gravité d’un incident avant activation afin de déclencher la cellule de crise de manière appropriée.</t>
  </si>
  <si>
    <t>CADRE REGLEMENTAIRE ET JURIDIQUE</t>
  </si>
  <si>
    <t>cadre de gestion des preuves</t>
  </si>
  <si>
    <t>Existe-t-il une politique formelle de conservation des preuves numériques ?</t>
  </si>
  <si>
    <t>Ensure a formal digital evidence retention policy exists to guarantee proper handling, preservation, and management of digital evidence.</t>
  </si>
  <si>
    <t>Les types de preuves (logs, images disque, emails, etc.) sont-ils identifiés ?</t>
  </si>
  <si>
    <t>Identification et collecte des preuves</t>
  </si>
  <si>
    <t>Les outils de collecte utilisés sont-ils validés et fiables ?</t>
  </si>
  <si>
    <t>Les intervenants savent-ils quoi collecter et quand ?</t>
  </si>
  <si>
    <t>Les méthodes de collecte garantissent-elles l’intégrité des preuves ?</t>
  </si>
  <si>
    <t>Stockage et protection des preuves</t>
  </si>
  <si>
    <t>L’accès au stockage est-il limité aux personnes autorisées ?</t>
  </si>
  <si>
    <t>Des sauvegardes des preuves sont-elles réalisées ?</t>
  </si>
  <si>
    <t>Les preuves sont-elles stockées dans un environnement sécurisé ?</t>
  </si>
  <si>
    <t>Cette durée respecte-t-elle les exigences légales et réglementaires (ISO 27001)</t>
  </si>
  <si>
    <t>Ensure that evidence retention duration complies with legal and regulatory requirements (e.g., ISO 27001).</t>
  </si>
  <si>
    <t>Les preuves sont-elles conservées suffisamment longtemps pour les enquêtes ?</t>
  </si>
  <si>
    <t>Ensure that evidence is retained long enough to support thorough investigations and legal proceedings.</t>
  </si>
  <si>
    <t>Une durée de conservation des preuves est-elle définie ?</t>
  </si>
  <si>
    <t>Ensure that a defined retention period for evidence is established to guide proper management.</t>
  </si>
  <si>
    <t>Les procédures respectent-elles les bonnes pratiques forensiques (ISO 27037) ?</t>
  </si>
  <si>
    <t>Ensure that procedures follow forensic best practices (e.g., ISO 27037) to maintain credibility and legal admissibility.</t>
  </si>
  <si>
    <t>Les preuves sont-elles exploitables dans un cadre légal (admissibilité) ?</t>
  </si>
  <si>
    <t>Ensure that collected evidence is legally admissible to support investigations and potential legal action.</t>
  </si>
  <si>
    <t>Audit et droit de contrôle</t>
  </si>
  <si>
    <t>Existe-t-il des pénalités en cas de non-respect des exigences ?</t>
  </si>
  <si>
    <t>Ensure that penalties exist for non-compliance to enforce adherence to evidence management requirements.</t>
  </si>
  <si>
    <t>Les contrats incluent-ils des exigences de performance et de sécurité ?</t>
  </si>
  <si>
    <t>Ensure that contracts with service providers include performance and security requirements to safeguard evidence handling.</t>
  </si>
  <si>
    <t>Les prestataires doivent-ils fournir des rapports d’audit ou certifications ?</t>
  </si>
  <si>
    <t>Ensure that service providers are required to provide audit reports or certifications to verify compliance and reliability.</t>
  </si>
  <si>
    <t>S’assurer que le personnel clé est formé à la communication de crise afin de garantir une diffusion d’informations claire, cohérente et maîtrisée en situation de crise.</t>
  </si>
  <si>
    <t xml:space="preserve">Forensics </t>
  </si>
  <si>
    <t>AHP</t>
  </si>
  <si>
    <t>Echelle</t>
  </si>
  <si>
    <t>GOV</t>
  </si>
  <si>
    <t>INC</t>
  </si>
  <si>
    <t>CRI</t>
  </si>
  <si>
    <t>CONT</t>
  </si>
  <si>
    <t>FOR</t>
  </si>
  <si>
    <r>
      <t>1</t>
    </r>
    <r>
      <rPr>
        <sz val="11"/>
        <color theme="1"/>
        <rFont val="Calibri"/>
        <family val="2"/>
        <scheme val="minor"/>
      </rPr>
      <t xml:space="preserve"> : importance égale</t>
    </r>
  </si>
  <si>
    <r>
      <t>3</t>
    </r>
    <r>
      <rPr>
        <sz val="11"/>
        <color theme="1"/>
        <rFont val="Calibri"/>
        <family val="2"/>
        <scheme val="minor"/>
      </rPr>
      <t xml:space="preserve"> : importance modérée</t>
    </r>
  </si>
  <si>
    <r>
      <t>5</t>
    </r>
    <r>
      <rPr>
        <sz val="11"/>
        <color theme="1"/>
        <rFont val="Calibri"/>
        <family val="2"/>
        <scheme val="minor"/>
      </rPr>
      <t xml:space="preserve"> : importance forte</t>
    </r>
  </si>
  <si>
    <r>
      <t>7</t>
    </r>
    <r>
      <rPr>
        <sz val="11"/>
        <color theme="1"/>
        <rFont val="Calibri"/>
        <family val="2"/>
        <scheme val="minor"/>
      </rPr>
      <t xml:space="preserve"> : importance très forte</t>
    </r>
  </si>
  <si>
    <r>
      <t>9</t>
    </r>
    <r>
      <rPr>
        <sz val="11"/>
        <color theme="1"/>
        <rFont val="Calibri"/>
        <family val="2"/>
        <scheme val="minor"/>
      </rPr>
      <t xml:space="preserve"> : importance extrême</t>
    </r>
  </si>
  <si>
    <r>
      <t>2, 4, 6, 8</t>
    </r>
    <r>
      <rPr>
        <sz val="11"/>
        <color theme="1"/>
        <rFont val="Calibri"/>
        <family val="2"/>
        <scheme val="minor"/>
      </rPr>
      <t xml:space="preserve"> : valeurs intermédiaires</t>
    </r>
  </si>
  <si>
    <t>SOMME</t>
  </si>
  <si>
    <t>NORMALISER : Méthode approchée par normalisation des colonnes</t>
  </si>
  <si>
    <t>Domaine</t>
  </si>
  <si>
    <t>PONDERATION</t>
  </si>
  <si>
    <t>Resultat</t>
  </si>
  <si>
    <t>%</t>
  </si>
  <si>
    <t>Registre des processus métiers classés par criticité, matrice de priorisation, rapport BIA validé</t>
  </si>
  <si>
    <t>Liste des fournisseurs/partenaires critiques, cartographie des dépendances externes, contrats/SLA, sections BIA dédiées aux tiers</t>
  </si>
  <si>
    <t>Méthodologie BIA, critères de classification documentés, grille de scoring, comptes rendus d’ateliers métiers</t>
  </si>
  <si>
    <t>Cartographie des dépendances, inventaire applicatif, organigrammes/fiches de postes clés, registre des tiers critiques</t>
  </si>
  <si>
    <t>Tableaux d’évaluation chiffrée, indicateurs qualitatifs, scorecards, fiches d’analyse d’impact</t>
  </si>
  <si>
    <t>Tableaux d’impact par horizon temporel, scénarios de dégradation, rapport BIA avec seuils 24h/48h/72h, matrices d’escalade</t>
  </si>
  <si>
    <t>Liste de ressources de secours, contrats de secours, solutions alternatives documentées, sites/relais identifiés</t>
  </si>
  <si>
    <t>PCA/BCP formel approuvé, politique de continuité, manuel de continuité, référentiel documentaire</t>
  </si>
  <si>
    <t>Bibliothèque de scénarios, plans par scénario, fiches réflexes, analyses de risques</t>
  </si>
  <si>
    <t>Journal des versions, date de mise à jour, validation documentaire, contrôle qualité documentaire</t>
  </si>
  <si>
    <t>Annuaire de crise, listes d’appel, contacts fournisseurs, historique de mise à jour</t>
  </si>
  <si>
    <t>Procédures détaillées, playbooks, runbooks, fiches réflexes par scénario</t>
  </si>
  <si>
    <t>Procédure de communication de crise, matrices de communication, modèles de messages, plan média</t>
  </si>
  <si>
    <t>Politique de sauvegarde, procédures de restauration, journaux de sauvegarde, rapports de tests</t>
  </si>
  <si>
    <t>Contrats/site de repli, documentation DR site, inventaire environnements de secours, architecture cible</t>
  </si>
  <si>
    <t>Fiches stratégies par processus, PCA/PRA détaillés, scénarios de reprise, annexes opérationnelles</t>
  </si>
  <si>
    <t>Contrats de secours, équipements redondants, fournisseurs alternatifs, stock de sécurité</t>
  </si>
  <si>
    <t>Liste du personnel critique, plan de formation, feuilles de présence, exercices ciblés</t>
  </si>
  <si>
    <t>Modèles de messages, communiqués préapprouvés, modèles d’email/SMS, kit de communication</t>
  </si>
  <si>
    <t>Programme d’exercices, rapports distincts par type de test, scénarios tabletop/techniques/full-scale</t>
  </si>
  <si>
    <t>Rapports d’évaluation, indicateurs de test, analyses d’écarts, tableaux de suivi</t>
  </si>
  <si>
    <t>Supports de sensibilisation, attestations de formation, quiz/exercices, enquêtes de connaissance</t>
  </si>
  <si>
    <t>Architecture de réplication, configurations techniques, contrats/outils de réplication, tableaux de bord de supervision</t>
  </si>
  <si>
    <t>Rapports de tests de restauration, preuves de succès/échec, journaux techniques, PV d’exercice PRA</t>
  </si>
  <si>
    <t>Politique de sauvegarde, planning des sauvegardes, logs de sauvegarde, tableaux de suivi</t>
  </si>
  <si>
    <t>Plan de relocalisation, sites alternatifs identifiés, accords logistiques, scénarios de transfert testés</t>
  </si>
  <si>
    <t>Études d’options, business case, analyse coûts-bénéfices, analyse de risques, PV de décision/validation</t>
  </si>
  <si>
    <t>Liste des sources de détection ; documentation SOC/SIEM ; cartographie des alertes</t>
  </si>
  <si>
    <t>Registre des incidents ; outil de ticketing ; rapports de suivi des incidents</t>
  </si>
  <si>
    <t>Grille de qualification ; procédure de triage ; guide de classification</t>
  </si>
  <si>
    <t>Seuils d’escalade formalisés ; matrice d’escalade ; procédure d’activation de crise</t>
  </si>
  <si>
    <t>Playbooks de réponse ; procédures par scénario ; fiches réflexes</t>
  </si>
  <si>
    <t>Procédure d’éradication ; runbooks techniques ; rapports d’intervention</t>
  </si>
  <si>
    <t>Plan de remédiation ; registre des actions correctives ; suivi des corrections</t>
  </si>
  <si>
    <t>Schéma de gouvernance ; matrice d’articulation entre dispositifs ; procédure transversale validée</t>
  </si>
  <si>
    <t>Cadre de gouvernance approuvé ; note de validation signée ; version datée du document</t>
  </si>
  <si>
    <t>Calendrier de révision ; historique des versions ; journal des modifications</t>
  </si>
  <si>
    <t>Liste de diffusion ; emails de communication ; accusés de réception ou feuilles de diffusion</t>
  </si>
  <si>
    <t>Matrice RACI ; répartition des responsabilités ; procédures opérationnelles</t>
  </si>
  <si>
    <t>Délégations de pouvoir ; matrice d’autorité ; procédure de décision de crise</t>
  </si>
  <si>
    <t>Plan de formation ; feuilles de présence ; supports de sensibilisation</t>
  </si>
  <si>
    <t>Plan de communication de crise ; liste des canaux externes ; modèles de communiqués</t>
  </si>
  <si>
    <t>Procédure de communication interne ; annuaire de diffusion ; canaux d’alerte définis</t>
  </si>
  <si>
    <t>Matrice de compétences ; fiches de poste ; attestations de formation</t>
  </si>
  <si>
    <t>Décision de nomination ; liste officielle des membres ; organigramme de crise</t>
  </si>
  <si>
    <t>Charte de cellule de crise ; note de gouvernance ; document d’organisation validé</t>
  </si>
  <si>
    <t>Procédure d’évaluation ; grille de gravité ; procédure d’activation</t>
  </si>
  <si>
    <t>Politique de conservation des preuves ; procédure forensique ; note d’approbation</t>
  </si>
  <si>
    <t>Typologie des preuves ; guide de collecte ; inventaire des sources de preuve</t>
  </si>
  <si>
    <t>Liste des outils approuvés ; rapports de validation ; documentation technique</t>
  </si>
  <si>
    <t>Guide opérationnel ; supports de formation ; fiches réflexes</t>
  </si>
  <si>
    <t>Procédure de collecte ; chaîne de conservation ; formulaires de traçabilité</t>
  </si>
  <si>
    <t>Matrice des habilitations ; journal des accès ; procédure de contrôle d’accès</t>
  </si>
  <si>
    <t>Politique de sauvegarde ; journaux de sauvegarde ; rapports de test de restauration</t>
  </si>
  <si>
    <t>Procédure de stockage sécurisé ; configuration du coffre ou dépôt sécurisé ; contrôle d’accès physique/logique</t>
  </si>
  <si>
    <t>Politique de rétention ; matrice de conformité ; avis juridique ou conformité</t>
  </si>
  <si>
    <t>Tableau des durées de conservation ; exigences d’enquête ; registre d’archivage</t>
  </si>
  <si>
    <t>Politique de rétention ; calendrier de conservation ; procédure d’archivage</t>
  </si>
  <si>
    <t>Procédure forensique ; référentiel de bonnes pratiques ; mode opératoire d’investigation</t>
  </si>
  <si>
    <t>Chaîne de possession ; avis juridique ; dossier de preuve documenté</t>
  </si>
  <si>
    <t>Clauses contractuelles ; SLA ; clauses de pénalité</t>
  </si>
  <si>
    <t>Contrats fournisseurs ; exigences de sécurité ; annexes SLA/Security</t>
  </si>
  <si>
    <t>Clauses d’audit ; rapports d’audit ; certificats de conformité</t>
  </si>
  <si>
    <t>Exigences de conservation de preuve</t>
  </si>
  <si>
    <t>Structure</t>
  </si>
  <si>
    <t>Arrondissement</t>
  </si>
  <si>
    <t>Final</t>
  </si>
  <si>
    <t>CONF</t>
  </si>
  <si>
    <t>Nombre De Question</t>
  </si>
  <si>
    <t>S’assurer que tous les types de preuves pertinents (journaux, images disque, e-mails, etc.) sont identifiés afin de soutenir des investigations approfondies.</t>
  </si>
  <si>
    <t>S’assurer que les outils de collecte sont validés et fiables afin de garantir l’intégrité et l’exactitude des preuves.</t>
  </si>
  <si>
    <t>S’assurer que le personnel sait quelles preuves collecter et à quel moment, afin de soutenir des processus forensiques efficaces.</t>
  </si>
  <si>
    <t>S’assurer que les méthodes de collecte préservent l’intégrité des preuves afin d’éviter toute altération ou perte.</t>
  </si>
  <si>
    <t>S’assurer que l’accès au stockage des preuves est restreint au personnel autorisé afin de protéger la confidentialité et l’intégrité.</t>
  </si>
  <si>
    <t>S’assurer que des sauvegardes des preuves sont effectuées afin d’éviter toute perte accidentelle ou corruption.</t>
  </si>
  <si>
    <t>S’assurer que les preuves sont stockées dans un environnement sécurisé afin de les protéger contre tout accès non autorisé ou dommage.</t>
  </si>
  <si>
    <t xml:space="preserve"> l’audit</t>
  </si>
  <si>
    <t xml:space="preserve">Rapport d'audit une fois chaque 12 mois </t>
  </si>
  <si>
    <t>l’audit obligatoire de la sécurité des systèmes d’information</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</si>
  <si>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</si>
  <si>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</si>
  <si>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 xml:space="preserve">Attribution le label « sécurisé » à
chaque logiciel ou équipement électronique </t>
  </si>
  <si>
    <t>Sécurité des logiciels et équipements
électroniques</t>
  </si>
  <si>
    <t xml:space="preserve">Du classement des fournisseurs des services de
l’informatique en nuage et de l’hébergement </t>
  </si>
  <si>
    <t xml:space="preserve">Document officiele de l'attribution de la label "securise" sur logiciel et equipement de l'entreprise  </t>
  </si>
  <si>
    <t>Attribution le label « G-Cloud » et « N-Cloud »  à
chaque Fournisseur de
services informatique en nuage</t>
  </si>
  <si>
    <t xml:space="preserve">document officielle de l'attribution et validiter de la label pour les fourniseur et pour l'organisme si applicable </t>
  </si>
  <si>
    <t>classification selon le degré de sécurité</t>
  </si>
  <si>
    <t>Quelle est le niveau de securite ( premier niveau / Deuxieme niveau / Troisieme niveau )</t>
  </si>
  <si>
    <t>Document de classification de ANSI</t>
  </si>
  <si>
    <t xml:space="preserve">Les organismes sont tenues de créer leurs propres centres de réponse aux urgences ou d’adhérer à des
centres de réponse aux urgences cybernétiques </t>
  </si>
  <si>
    <t xml:space="preserve">prezsence d'un centre local ou contrat en cas d'un tier </t>
  </si>
  <si>
    <t xml:space="preserve">dispositions spécifiques aux infrastructures
numériques d’importance vitale </t>
  </si>
  <si>
    <t>Les structures qui gèrent des
infrastructures numériques d’importance vitale sont
tenues de prendre les mesures de sécurité</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</si>
  <si>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</si>
  <si>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</si>
  <si>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Réponse aux urgences cybernétiques</t>
  </si>
  <si>
    <t>S’assurer que des audits obligatoires de la sécurité des systèmes d’information sont réalisés afin d’évaluer la conformité et l’efficacité des mesures de sécurité mises en place</t>
  </si>
  <si>
    <t>S’assurer que chaque logiciel ou équipement électronique obtient un label « sécurisé » afin de garantir qu’il répond aux exigences de sécurité définies.</t>
  </si>
  <si>
    <t>S’assurer que chaque fournisseur de services cloud obtient les labels « G-Cloud » et « N-Cloud » afin de garantir leur conformité aux standards de sécurité applicables.</t>
  </si>
  <si>
    <t>Evaluation de niveau de securite</t>
  </si>
  <si>
    <t>S’assurer que les organismes mettent en place ou adhèrent à des centres de réponse aux urgences cybernétiques afin de garantir une capacité efficace de détection et de réponse aux incidents</t>
  </si>
  <si>
    <t>S’assurer que les structures gérant des infrastructures numériques critiques appliquent des mesures de sécurité renforcées afin de protéger les services essentiels</t>
  </si>
  <si>
    <t>S’assurer que la confidentialité des opérations liées à l’accès, la collecte et l’interception des données est strictement respectée afin de protéger le secret professionnel et les informations sensibles</t>
  </si>
  <si>
    <t>Catégorie de contrôle</t>
  </si>
  <si>
    <t>Contrôle</t>
  </si>
  <si>
    <t>Objectif</t>
  </si>
  <si>
    <t>Preuves possibles</t>
  </si>
  <si>
    <t>Question finale</t>
  </si>
  <si>
    <t>Declaration signe de charge des son premier jour de sa prise en charge de travaille</t>
  </si>
  <si>
    <t>Pouvez-vous fournir les rapports d’audit réalisés au cours des 12 derniers mois, ainsi que les preuves de leur dépôt auprès de l’ANSI ?</t>
  </si>
  <si>
    <t>Est-ce que vos équipements électroniques et logiciels, ainsi que vos fournisseurs de services cloud, possèdent respectivement les labels « Sécurisé » et « G-Cloud / N-Cloud » valides délivrés par l’ANSI ?</t>
  </si>
  <si>
    <t>L’organisation possède-t-elle un niveau de sécurité délivré par l’ANSI ? Si oui, quel est ce niveau ?</t>
  </si>
  <si>
    <t>L’organisme dispose-t-il d’un centre de réponse aux urgences (propre ou adhérent) et prend-il les mesures de sécurité requises pour la gestion des infrastructures numériques d’importance vitale ?</t>
  </si>
  <si>
    <t>Où sont stockées les preuves et qui peut y accéder ?</t>
  </si>
  <si>
    <t>Les personnes chargées de la collecte des preuves sont-elles qualifiées pour effectuer cette tâche, et quelle méthode de collecte est utilisée ?</t>
  </si>
  <si>
    <t>Quel est le périmètre de la collecte des preuves et quels outils sont utilisés pour cette collecte ?</t>
  </si>
  <si>
    <t>Les impacts sont-ils mesurés quantitativement et/ou qualitativement, et sont-ils évalués à court, moyen et long terme (24h, 48h, 72h) ?</t>
  </si>
  <si>
    <t>Real</t>
  </si>
  <si>
    <t>Is a formal incident logging register or ticketing system implemented to ensure proper tracking, documentation, and traceability of incidents?</t>
  </si>
  <si>
    <t>Result</t>
  </si>
  <si>
    <t>No</t>
  </si>
  <si>
    <t>N/A</t>
  </si>
  <si>
    <t>Yes</t>
  </si>
  <si>
    <t>What technical resources and tools are implemented to support threat detection and monitoring?</t>
  </si>
  <si>
    <t>What eradication actions are defined to address identified threats?</t>
  </si>
  <si>
    <t>Quels canaux de communication sont prévus pour la diffusion externe/interne  ?</t>
  </si>
  <si>
    <t>Nb Question</t>
  </si>
  <si>
    <t>Comment l’entreprise s’assure-t-elle que les enregistrements sont complets et n’ont fait l’objet d’aucune altération ?</t>
  </si>
  <si>
    <t>Comment l’entreprise s’assure-t-elle que les retours d’expérience sont intégrés dans les plans ?</t>
  </si>
  <si>
    <t>Comment l’entreprise s’assure-t-elle que les équipes connaissent leurs rôles en cas de crise ?</t>
  </si>
  <si>
    <t>Securite Physique</t>
  </si>
  <si>
    <t>Périmètres de sécurité physique</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</si>
  <si>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</si>
  <si>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Terminaux finaux
des utilisateurs</t>
  </si>
  <si>
    <t>Protection contre les programmes malveillants</t>
  </si>
  <si>
    <t>Gestion des vulnérabilités techniques</t>
  </si>
  <si>
    <t>Prévention de la fuite de données</t>
  </si>
  <si>
    <t>Redondance des moyens de traite- ment de l'infor- mation</t>
  </si>
  <si>
    <t>Sécurité des réseaux</t>
  </si>
  <si>
    <t>Utilisation de la cryptographie</t>
  </si>
  <si>
    <t>Fonctionnement</t>
  </si>
  <si>
    <t>Des outils de détection et de suppression des programmes malveillants sont-ils installés et régulièrement mis à jour sur les systèmes ?</t>
  </si>
  <si>
    <t>Des tests de pénétration ou évaluations de vulnérabilités sont-ils réalisés régulièrement par du personnel compétent et autorisé ?</t>
  </si>
  <si>
    <t>Les mises à jour sont-elles signées numériquement et leur intégrité est-elle vérifiée avant installation</t>
  </si>
  <si>
    <t>Les accès aux données sensibles sont-ils protégés par des contrôles d’accès granulaires (RBAC/ABAC) ?</t>
  </si>
  <si>
    <t>Les configurations réseau sont-elles sauvegardées et versionnées pour assurer leur intégrité et leur restauration ?</t>
  </si>
  <si>
    <t>Les données au repos et en transit sont-elles chiffrées, et des mécanismes sont-ils en place pour gérer l’impact du chiffrement sur les contrôles de sécurité (Inspection, détection et analyse) ?</t>
  </si>
  <si>
    <t>Le réseau est-il correctement segmenté, et quels protocoles sont autorisés au sein du réseau ?</t>
  </si>
  <si>
    <t>L’architecture des systèmes intègre-t-elle des mécanismes de redondance (active-active, active-passive) adaptés aux besoins métier ? (fourniseur internet , power suply , service acess )</t>
  </si>
  <si>
    <t xml:space="preserve">Les données reçues via les réseaux, supports de stockage ou pièces jointes des emails, sont-elles systématiquement analysées avant utilisation ? </t>
  </si>
  <si>
    <t>Les périphériques amovibles (USB, disques externes) sont-ils contrôlés ?</t>
  </si>
  <si>
    <t>Des solutions DLP sont-elles déployées sur les endpoints, le réseau et le cloud ?</t>
  </si>
  <si>
    <t>Nb Questions / Domaine</t>
  </si>
  <si>
    <t>Détection et déclenchement de crise</t>
  </si>
  <si>
    <t>Procédures de réponse</t>
  </si>
  <si>
    <t>Coordination externe</t>
  </si>
  <si>
    <t>Les outils de monitoring permettent-ils une détection en temps réel des incidents majeurs ?</t>
  </si>
  <si>
    <t>Des runbooks sont-ils disponibles pour les scénarios cyber majeurs</t>
  </si>
  <si>
    <t>Combien de temps faut-il en moyenne pour isoler un système compromis ?</t>
  </si>
  <si>
    <t>Un prestataire de réponse à incident (IR) est-il contractuellement prévu ?</t>
  </si>
  <si>
    <t>Le temps de détection (MTTD) et de réponse (MTTR) est-il mesuré ?</t>
  </si>
  <si>
    <t>Les performances en gestion de crise sont-elles régulièrement évaluées ?</t>
  </si>
  <si>
    <t>Indicateurs opérationnels</t>
  </si>
  <si>
    <t>Veille et préparation à la crise</t>
  </si>
  <si>
    <t>L’organisation collecte-t-elle et exploite-t-elle efficacement les renseignements sur les menaces (stratégiques, tactiques et opérationnelles) pour anticiper les crises cyber, améliorer la détection et réduire leur impact ?</t>
  </si>
  <si>
    <t>L’organisation mesure-t-elle et analyse-t-elle les incidents de sécurité (types, volume, coûts) afin d’améliorer la gestion de crise, prévenir les incidents récurrents et renforcer la sensibilisation des utilisateurs ?</t>
  </si>
  <si>
    <t>Les membres de la cellule de crise sont-ils identifiés (IT, sécurité, juridique, communication, direction) ?</t>
  </si>
  <si>
    <t>Les rôles et responsabilités sont-ils clairement définis et compris ? Existe-t-il des remplaçants en cas d’indisponibilité ?</t>
  </si>
  <si>
    <t>What communication channels are established for use in the event of an cybercrise?</t>
  </si>
  <si>
    <t>Des exercices de simulation de crise sont-ils réalisés ?</t>
  </si>
  <si>
    <t>Tests et amélioration</t>
  </si>
  <si>
    <t>La cellule a-t-elle déjà été activée en conditions réelles ?</t>
  </si>
  <si>
    <t>La communication peut-elle être maintenue si les systèmes internes sont compromis ?</t>
  </si>
  <si>
    <t>Disponibilité des ressources</t>
  </si>
  <si>
    <t>Les équipes de crise sont-elles disponibles 24/7 en cas d’incident majeur ?</t>
  </si>
  <si>
    <t>Existe-t-il un espace dédié de gestion de crise (physique ou virtuel) ?</t>
  </si>
  <si>
    <t>Comment les données compromises sont-elles identifiées et protégées ?</t>
  </si>
  <si>
    <t>Gestion des données en crise</t>
  </si>
  <si>
    <t>Comment Les systèmes sont-ils restaurés de manière contrôlée et sécurisée ?</t>
  </si>
  <si>
    <t>Un contrôle post-crise est-il effectué avant la remise en production ?</t>
  </si>
  <si>
    <t>Reprise après crise</t>
  </si>
  <si>
    <t>Existe-t-il un mécanisme de communication avec CERT/autorités ?</t>
  </si>
  <si>
    <t>Comment La coordination avec fournisseurs, cloud providers et partenaires est-elle intégrée dans la gestion de crise ?</t>
  </si>
  <si>
    <t>Des contrôles d’accès réseau (firewalls, ACL) sont-ils configurés ?</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</si>
  <si>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</si>
  <si>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</si>
  <si>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</si>
  <si>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S’assurer que des sites ou systèmes alternatifs sont identifiés afin de maintenir ou de rétablir les opérations lorsque les ressources principales sont indisponibles.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</si>
  <si>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</si>
  <si>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Les listes de contacts (internes et externes) sont-elles documentées et régulièrement mises à jour ?</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</si>
  <si>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</si>
  <si>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</si>
  <si>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</si>
  <si>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Comment les processus métiers sont-ils identifiés, priorisés et classifiés ?</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</si>
  <si>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</si>
  <si>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</si>
  <si>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</si>
  <si>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</si>
  <si>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Toutes les dépendances internes et externes, y compris les fournisseurs, partenaires, systèmes informatiques et le personnel, ont-elles été identifiées et intégrées dans le BIA ?</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</si>
  <si>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</si>
  <si>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</si>
  <si>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Des mesures d’impact quantitatives et/ou qualitatives sont-elles utilisées ?</t>
  </si>
  <si>
    <t>S’assurer que des mesures à la fois quantitatives et qualitatives sont utilisées afin de fournir une évaluation complète des impacts.</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</si>
  <si>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</si>
  <si>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</si>
  <si>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Responsibilitiés</t>
  </si>
  <si>
    <t>Les différents types de scénarios sont-ils couverts (cyberattaque, panne système) ?</t>
  </si>
  <si>
    <t>S’assurer que le PCA couvre une gamme de scénarios de perturbation plausibles afin d’améliorer la préparation et l’efficacité de la réponse.</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</si>
  <si>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</si>
  <si>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</si>
  <si>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S’assurer que des informations de contact précises et à jour sont maintenues afin de permettre une communication et une coordination rapides en situation de crise.</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</si>
  <si>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</si>
  <si>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</si>
  <si>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Des modèles de communication de crise (emails, communiqués de presse) sont-ils préparés ?</t>
  </si>
  <si>
    <t>S’assurer que des modèles de communication préapprouvés sont disponibles afin de garantir des messages rapides, cohérents et maîtrisés en situation de crise.</t>
  </si>
  <si>
    <t xml:space="preserve">Procedures de reponse </t>
  </si>
  <si>
    <t>Le personnel critique est-il identifié et formé ?</t>
  </si>
  <si>
    <t>S’assurer que le personnel critique est identifié et correctement formé pour assurer ses missions en cas de perturbation.</t>
  </si>
  <si>
    <t>Quand les scénarios du BIA ont-ils été testés pour la dernière fois et quels types de tests ont été réalisés ?</t>
  </si>
  <si>
    <t>Différents types de tests sont-ils réalisés (tabletop, techniques, à grande échelle) ?</t>
  </si>
  <si>
    <t>S’assurer qu’une variété de tests (tabletop, techniques, à grande échelle) est réalisée afin d’évaluer de manière complète les différents aspects du PCA.</t>
  </si>
  <si>
    <t>Des ressources de secours sont-elles disponibles et documentées ?</t>
  </si>
  <si>
    <t>S’assurer que des ressources de secours sont disponibles et correctement documentées afin de garantir la continuité en cas de défaillance des ressources.</t>
  </si>
  <si>
    <t>Votre organisation dispose-t-elle d’une solution de réplication et/ou de sauvegarde des données ?</t>
  </si>
  <si>
    <t>Surveillance</t>
  </si>
  <si>
    <t>Incomplet</t>
  </si>
  <si>
    <t>Exécuté</t>
  </si>
  <si>
    <t>Maîtrisé</t>
  </si>
  <si>
    <t>Établi</t>
  </si>
  <si>
    <t>Prévisible</t>
  </si>
  <si>
    <t>Optimisé</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</si>
  <si>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</si>
  <si>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</si>
  <si>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</si>
  <si>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</si>
  <si>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Mise en place d’outils de monitoring en temps réel (SIEM, EDR, NDR)</t>
  </si>
  <si>
    <t>Assurer une détection rapide et proactive des incidents majeurs</t>
  </si>
  <si>
    <t>Outils SIEM/EDR/NDR ; tableaux de bord de supervision ; alertes en temps réel ; procédures de surveillance</t>
  </si>
  <si>
    <t>Définition de procédures d’isolement des systèmes compromis</t>
  </si>
  <si>
    <t>Élaboration et mise à disposition de runbooks pour les scénarios cyber majeurs</t>
  </si>
  <si>
    <t>Réduire la propagation des incidents et limiter leur impact</t>
  </si>
  <si>
    <t>Standardiser et accélérer la réponse aux incidents critiques</t>
  </si>
  <si>
    <t>Procédures d’isolement ; playbooks SOC ; journaux d’intervention ; rapports d’incident</t>
  </si>
  <si>
    <t>Runbooks documentés ; playbooks d’intervention ; documentation SOC ; guides opérationnels</t>
  </si>
  <si>
    <t>Contractualisation avec un prestataire de réponse à incident (IR)</t>
  </si>
  <si>
    <t>Garantir un support expert en cas de crise cyber majeure</t>
  </si>
  <si>
    <t>Contrats IR ; SLA ; coordonnées du prestataire ; procédures d’escalade</t>
  </si>
  <si>
    <t>Intégration des parties prenantes externes dans la gestion de crise</t>
  </si>
  <si>
    <t>Mise en place de mécanismes de communication avec CERT/autorités</t>
  </si>
  <si>
    <t>Faciliter la collaboration avec les autorités compétentes</t>
  </si>
  <si>
    <t>Assurer une coordination efficace avec fournisseurs et partenaires</t>
  </si>
  <si>
    <t>Plan de gestion de crise ; liste des contacts ; procédures de coordination externe</t>
  </si>
  <si>
    <t>Procédures de notification ; registre réglementaire ; rapports de conformité</t>
  </si>
  <si>
    <t>Suivi des indicateurs MTTD et MTTR</t>
  </si>
  <si>
    <t>Évaluation régulière des performances en gestion de crise</t>
  </si>
  <si>
    <t>Mesurer la performance de détection et de réponse</t>
  </si>
  <si>
    <t>Améliorer en continu les capacités de réponse</t>
  </si>
  <si>
    <t>Tableaux de bord KPI ; rapports SOC ; indicateurs de performance</t>
  </si>
  <si>
    <t>Rapports d’audit ; REX ; tableaux de performance ; comptes rendus</t>
  </si>
  <si>
    <t>Mise en place d’une capacité de Threat Intelligence</t>
  </si>
  <si>
    <t>Analyse des incidents de sécurité et retour d’expérience</t>
  </si>
  <si>
    <t>Anticiper les menaces et améliorer la détection</t>
  </si>
  <si>
    <t>Réduire les incidents récurrents et améliorer la posture de sécurité</t>
  </si>
  <si>
    <t>Rapports CTI ; flux de renseignement ; outils TI ; analyses de menaces</t>
  </si>
  <si>
    <t>Rapports d’incident ; base de données incidents ; analyses de tendances</t>
  </si>
  <si>
    <t>Organisation d’exercices de simulation de crise</t>
  </si>
  <si>
    <t>Tester et améliorer la préparation de l’organisation</t>
  </si>
  <si>
    <t>Rapports d’exercice ; scénarios de crise ; comptes rendus</t>
  </si>
  <si>
    <t>Activation réelle de la cellule de crise</t>
  </si>
  <si>
    <t>Évaluer l’efficacité en conditions réelles</t>
  </si>
  <si>
    <t>Rapports d’incident ; comptes rendus de crise ; REX</t>
  </si>
  <si>
    <t>Mise en place d’une organisation de crise disponible 24/7</t>
  </si>
  <si>
    <t>Garantir une réponse immédiate aux incidents majeurs</t>
  </si>
  <si>
    <t>Planning d’astreinte ; organisation SOC ; procédures d’escalade</t>
  </si>
  <si>
    <t>Définition d’un espace dédié de gestion de crise</t>
  </si>
  <si>
    <t>Assurer une gestion structurée des crises</t>
  </si>
  <si>
    <t>Salle de crise ; outils collaboratifs ; plateformes de gestion de crise</t>
  </si>
  <si>
    <t>Mise en place de procédures d’identification et de protection des données compromises</t>
  </si>
  <si>
    <t>Limiter l’impact sur les données sensibles</t>
  </si>
  <si>
    <t>Procédures de gestion des données ; classification ; journaux d’accès</t>
  </si>
  <si>
    <t>Mise en œuvre de procédures de restauration sécurisée des systèmes</t>
  </si>
  <si>
    <t>Réalisation de contrôles post-crise avant remise en production</t>
  </si>
  <si>
    <t>Assurer une reprise fiable et sécurisée des activités</t>
  </si>
  <si>
    <t>Éviter la réintroduction de vulnérabilités</t>
  </si>
  <si>
    <t>Rapports de validation ; tests post-restauration ; audits</t>
  </si>
  <si>
    <t>procédures de restauration ; journaux de repris</t>
  </si>
  <si>
    <t>Opérationnelle</t>
  </si>
  <si>
    <t>CERT</t>
  </si>
  <si>
    <t>Fournisseurs</t>
  </si>
  <si>
    <t>KPI</t>
  </si>
  <si>
    <t>Threat Intelligence</t>
  </si>
  <si>
    <t>Tests</t>
  </si>
  <si>
    <t>Historique</t>
  </si>
  <si>
    <t>Ressources</t>
  </si>
  <si>
    <t>Validation</t>
  </si>
  <si>
    <t>Restauration</t>
  </si>
  <si>
    <t>Data</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</si>
  <si>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</si>
  <si>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</si>
  <si>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</si>
  <si>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Définition des exigences de sécurité des logiciels et gestion des mises à jour</t>
  </si>
  <si>
    <t>Assurer la sécurité et la conformité des terminaux utilisateurs</t>
  </si>
  <si>
    <t>Politique de gestion des correctifs ; inventaire logiciel ; outils de gestion des endpoints</t>
  </si>
  <si>
    <t>Analyse systématique des données entrantes</t>
  </si>
  <si>
    <t>Prévenir l’introduction de logiciels malveillants via des supports externes ou réseaux</t>
  </si>
  <si>
    <t>Solutions antivirus ; passerelles de sécurité ; rapports d’analyse</t>
  </si>
  <si>
    <t>Déploiement d’outils anti-malware à jour</t>
  </si>
  <si>
    <t>Détecter et supprimer les programmes malveillants efficacement</t>
  </si>
  <si>
    <t>Antivirus/EDR ; journaux de mise à jour ; rapports de détection</t>
  </si>
  <si>
    <t>Vérification de l’intégrité des mises à jour</t>
  </si>
  <si>
    <t>Garantir que seules des mises à jour fiables sont installées</t>
  </si>
  <si>
    <t>Signatures numériques ; journaux de validation ; politiques de patching</t>
  </si>
  <si>
    <t>Réalisation de tests de sécurité réguliers</t>
  </si>
  <si>
    <t>Identifier et corriger les vulnérabilités</t>
  </si>
  <si>
    <t>Rapports de pentest ; scans de vulnérabilités</t>
  </si>
  <si>
    <t>Mise en place de contrôles d’accès aux données sensibles</t>
  </si>
  <si>
    <t>Contrôle des périphériques amovibles</t>
  </si>
  <si>
    <t>Déploiement de solutions DLP</t>
  </si>
  <si>
    <t>Limiter l’accès aux données selon le principe du moindre privilège</t>
  </si>
  <si>
    <t>Réduire les risques d’exfiltration de données</t>
  </si>
  <si>
    <t>Prévenir et détecter les fuites de données</t>
  </si>
  <si>
    <t>Politiques USB ; journaux d’accès ; solutions de contrôle des périphériques</t>
  </si>
  <si>
    <t>Solutions DLP ; rapports d’alerte ; politiques de sécurité</t>
  </si>
  <si>
    <t>Programme de blockage; journaux d’accès ; revues des droits</t>
  </si>
  <si>
    <t>Mise en place de mécanismes de redondance des systèmes critiques</t>
  </si>
  <si>
    <t>Assurer la continuité de service</t>
  </si>
  <si>
    <t>Architectures redondantes ; documentation technique ; tests de bascule</t>
  </si>
  <si>
    <t>Sauvegarde et gestion des configurations réseau</t>
  </si>
  <si>
    <t>Segmentation réseau et contrôle des protocoles</t>
  </si>
  <si>
    <t>Mise en place de contrôles d’accès réseau</t>
  </si>
  <si>
    <t>Chiffrement des données et gestion des impacts sur la sécurité</t>
  </si>
  <si>
    <t>Assurer l’intégrité et la restauration des configurations</t>
  </si>
  <si>
    <t>Limiter la propagation des menaces</t>
  </si>
  <si>
    <t>Protéger les ressources réseau contre les accès non autorisés</t>
  </si>
  <si>
    <t>Protéger la confidentialité et l’intégrité des données</t>
  </si>
  <si>
    <t>Sauvegardes de configuration ; outils de gestion réseau ; historiques de version</t>
  </si>
  <si>
    <t>Architecture réseau ; VLAN ; règles de filtrage ; documentation des protocoles</t>
  </si>
  <si>
    <t>Firewalls ; ACL ; journaux de filtrage ; configurations réseau</t>
  </si>
  <si>
    <t>certificats ; journaux ; outils d’inspection TLS</t>
  </si>
  <si>
    <t>Existe-t-il une repartition des  responsabilite pour chaque acteur et procedure operationelles ?</t>
  </si>
  <si>
    <t>Existe-t-il une politique qui definie la modaliter et les ligne a suivre en terme de communication interne et externe dans le cas d'un crise cyber ?</t>
  </si>
  <si>
    <t>Qui a l'autorite de decision directionnelle en cas de crise cyber? Cette information est t-elle communiqué ?</t>
  </si>
  <si>
    <t xml:space="preserve">Exsite t-il des cas specifique ou de periode qui declanche la revision du cadre de gouvernance ? </t>
  </si>
  <si>
    <t>Exsite t-il un document formel de plan de contunite d'activite ?</t>
  </si>
  <si>
    <t>Les versions des documents sont-elles contrôlées et régulièrement mises à jour ?</t>
  </si>
  <si>
    <t>Les procédures de sauvegarde et de restauration des données sont-elles formellement documentées</t>
  </si>
  <si>
    <t>Des stratégies de reprise sont-elles définies pour chaque processus critique</t>
  </si>
  <si>
    <t>Les résultats des tests sont-ils formellement documentés et analysés afin d’identifier les écarts et axes d’amélioration ?</t>
  </si>
  <si>
    <t>Les employés sont-ils sensibilisés au PCA et à leurs rôles</t>
  </si>
  <si>
    <t>Les choix de stratégies de continuité sont-ils formellement justifiés (coût, efficacité, risques) afin de garantir des décisions adaptées et optimisées ?</t>
  </si>
  <si>
    <t>Existe-t-il une grille formelle de qualification des incidents?</t>
  </si>
  <si>
    <t>Des seuils d’escalade vers la gestion de crise sont-ils définis afin de déclencher rapidement les actions appropriées ?</t>
  </si>
  <si>
    <t>Existe-t-il des playbooks formels de confinement et de réponse pour les scénarios d’incidents majeurs afin de guider les actions et réduire les erreurs opérationnelles ?</t>
  </si>
  <si>
    <t>Les actions correctives post-incident sont-elles formellement définies et suivies afin de prévenir la récurrence et améliorer la sécurité globale ?</t>
  </si>
  <si>
    <t>Les liens entre la gestion de crise, la gestion des incidents, la continuité d’activité et la sécurité sont-ils formalisés afin d’assurer une coordination efficace et une réponse cohérente aux disruptions ?</t>
  </si>
  <si>
    <t>Le cadre de gouvernance de la gestion de crise cyber est-il formellement documenté, daté et approuvé par l’autorité compétente ?</t>
  </si>
  <si>
    <t>Une périodicité de révision du cadre de gouvernance est-elle définie et respectée, et les versions sont-elles tracées et à jour ?</t>
  </si>
  <si>
    <t>Le personnel clé a-t-il reçu une formation sur la communication de crise afin de garantir une communication claire, cohérente et maîtrisée en situation de crise ?</t>
  </si>
  <si>
    <t>Les membres de la cellule de crise sont-ils formellement désignés afin d’assurer une responsabilité claire et une structure de gouvernance définie</t>
  </si>
  <si>
    <t>Les membres disposent-ils des compétences et aptitudes requises pour leurs rôles ?</t>
  </si>
  <si>
    <t>Les événements ou critères déclenchant l’activation de la cellule de crise sont-ils clairement définis afin d’assurer une réponse rapide et cohérente ?</t>
  </si>
  <si>
    <t>Des pénalités sont-elles prévues en cas de non-respect des exigences afin de garantir la conformité aux obligations de gestion des preuves ?</t>
  </si>
  <si>
    <t>Les contrats avec les prestataires incluent-ils des exigences de performance et de sécurité afin de protéger la gestion et le traitement des preuves ?</t>
  </si>
  <si>
    <t>Les prestataires sont-ils tenus de fournir des rapports d’audit ou des certifications afin de démontrer leur conformité et leur fiabilité ?</t>
  </si>
  <si>
    <t>La durée de conservation respecte-t-elle les exigences légales et réglementaires (ISO 27001) ?</t>
  </si>
  <si>
    <t>La confidentialité des opérations d’accès, de collecte et d’interception des données est-elle strictement respectée afin de protéger le secret professionnel ?</t>
  </si>
  <si>
    <t>Le cadre formel de gouvernance de la gestion de crise cyber est-il documenté, daté et approuvé par l’autorité compétente afin de garantir sa validité et son application ?</t>
  </si>
  <si>
    <t>Les liens entre la gestion de crise, la gestion des incidents, la continuité d’activité et la sécurité sont-ils formalisés ?</t>
  </si>
  <si>
    <t>SCORE DU DOMAIN</t>
  </si>
  <si>
    <t>reference</t>
  </si>
  <si>
    <t xml:space="preserve">Les sites alternatifs sont-ils modifiés ? </t>
  </si>
  <si>
    <t xml:space="preserve">Refernces </t>
  </si>
  <si>
    <t>ISO 22301:2019 8.2.2(b), 8.2.2(f) ; ISO/IEC 27001:2022 Annexe A A.5..9</t>
  </si>
  <si>
    <t>ISO 22301:2019 8.2.2(g), 8.2.2(h)  ISO/IEC 27001:2022 Annexe A A.5.19</t>
  </si>
  <si>
    <t xml:space="preserve">ISO 22301:2019 8.2.2 ;                     ISO/IEC 27001:2022 Annexe A A.5.30 </t>
  </si>
  <si>
    <t>Le PCA couvre-t-il différents types de scénarios avec des procédures de réponse détaillées pour chacun ?</t>
  </si>
  <si>
    <t>ISO 22301:2019 8.4.1, 8.4.4 ;           ISO/IEC 27001:2022 Annexe A A.5.29</t>
  </si>
  <si>
    <t>ISO 22301:2019 8.4.3 ;                     ISO/IEC 27001:2022 Annexe A A.5.5</t>
  </si>
  <si>
    <t>ISO 22301:2019 8.4.2.2, 8.4.2.4 ;     ISO/IEC 27001:2022 Annexe A A.5.2</t>
  </si>
  <si>
    <t>Le personnel critique a-t-il été identifié et formé de manière appropriée pour faire face aux perturbations ?</t>
  </si>
  <si>
    <t>ISO 22301:2019 7.2, §7.3 ;               ISO/IEC 27001:2022 Annexe A A.6.3</t>
  </si>
  <si>
    <t>ISO 22301:2019 §8.5 ; ISO/IEC 27001:2022 Annexe A A.5.30</t>
  </si>
  <si>
    <t>ISO 22301:2019 §8.3.4(b), §8.3.4(e) ; ISO/IEC 27001:2022 Annexe A A.8.13, A.8.14</t>
  </si>
  <si>
    <t>ISO 22301:2019 8.3.4, 8.3.5, 8.5 ;     ISO/IEC 27001:2022 Annexe A A.5.30</t>
  </si>
  <si>
    <t>ISO 22301:2019 8.6, 10.2 ;               ISO/IEC 27001:2022 Annexe A A.5.27</t>
  </si>
  <si>
    <t>iso 27037 clause 6 + annexe A  ; ISO/IEC 27001:2022 - 5.28</t>
  </si>
  <si>
    <t>iso 27037 clause 6-7 . ISO/IEC 27001:2022 - 5.28</t>
  </si>
  <si>
    <t>iso 27037 clause 6 . ISO/IEC 27001:2022 6A.8.3 + A.8.15</t>
  </si>
  <si>
    <t>iso 27037 clause 6 . ISO/IEC 27001:2022 -A.8.13</t>
  </si>
  <si>
    <t>iso 27037 clause 6+7 + Annexe B . ISO/IEC 27001:2022- A.7.8 + A.8.15</t>
  </si>
  <si>
    <t>iso 27037 clause 6+7 + Annexe B . ISO/IEC 27001:2022- A.5.28 + A.8.15</t>
  </si>
  <si>
    <t>iso 27037 clause 5 . ISO/IEC 27001:2022 - 5.28</t>
  </si>
  <si>
    <t>iso 27037 clause 6 . ISO/IEC 27001:2022 - 5.28</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</si>
  <si>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</si>
  <si>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</si>
  <si>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Refernces</t>
  </si>
  <si>
    <t>NIST 800-61r3 – DE.CM-01 / DE.CM-09
CSF 2.0 – DE.CM (Continuous Monitoring)
27002 – 8.15 / 8.16</t>
  </si>
  <si>
    <t>NIST 800-61r3 – RS.MA-03 / RS.AN-06
CSF 2.0 – RS.MA (Incident Management)
27002 – 5.25 / 5.26</t>
  </si>
  <si>
    <t>NIST 800-61r3 – RS.MI-02 / RS.AN-03
CSF 2.0 – RS.MI (Incident Mitigation)
27002 – 5.26</t>
  </si>
  <si>
    <t>NIST 800-61r3 – DE.CM-02 / PR.AA-06
CSF 2.0 – PR.AA (Physical Access)
27002 – 7.1 / 7.2 / 7.4</t>
  </si>
  <si>
    <t>NIST 800-61r3 – DE.CM-09 / PR.PS-02
CSF 2.0 – PR.PS (Platform Security)
27002 – 8.1 / 8.8</t>
  </si>
  <si>
    <t>Quelles exigences sont définies concernant les logiciels installés sur les terminaux des utilisateurs finaux, et comment et comment les mises à jour sont-elles assurées ?</t>
  </si>
  <si>
    <t>NIST 800-61r3 – DE.CM-09 / RS.MI-01
CSF 2.0 – DE.CM-09
27002 – 8.7</t>
  </si>
  <si>
    <t>NIST 800-61r3 – DE.CM-09 / RS.MI-01
CSF 2.0 – PR.PS / DE.CM
27002 – 8.7</t>
  </si>
  <si>
    <t>NIST 800-61r3 – ID.RA-09 / PR.PS-02
CSF 2.0 – PR.PS-02 / ID.RA-09
27002 – 8.8 / 8.9</t>
  </si>
  <si>
    <t>NIST 800-61r3 – ID.IM-02 / ID.RA-05
CSF 2.0 – ID.IM-02 (Tests &amp; Exercises)
27002 – 8.8</t>
  </si>
  <si>
    <t>NIST 800-61r3 – PR.AA-05
CSF 2.0 – PR.AA-05 (Least Privilege)
27002 – 5.15 / 8.3</t>
  </si>
  <si>
    <t>NIST 800-61r3 – PR.PS-05
CSF 2.0 – PR.PS-05
27002 – 7.10 / 8.1</t>
  </si>
  <si>
    <t>NIST 800-61r3 – DE.CM-09 / PR.DS-01
CSF 2.0 – PR.DS (Data Security)
27002 – 8.12</t>
  </si>
  <si>
    <t>NIST 800-61r3 – PR.IR-03 / PR.IR-04
CSF 2.0 – PR.IR (Infrastructure Resilience)
27002 – 8.14</t>
  </si>
  <si>
    <t>NIST 800-61r3 – PR.PS-01 / RC.RP-03
CSF 2.0 – PR.PS-01 / RC.RP
27002 – 8.9 / 8.13</t>
  </si>
  <si>
    <t>NIST 800-61r3 – PR.IR-01 / DE.CM-01
CSF 2.0 – PR.IR-01 / DE.CM-01
27002 – 8.20 / 8.22</t>
  </si>
  <si>
    <t>NIST 800-61r3 – PR.IR-01 / DE.CM-01
CSF 2.0 – PR.AA / PR.IR-01
27002 – 8.20 / 8.21</t>
  </si>
  <si>
    <t>NIST 800-61r3 – PR.DS-01 / PR.DS-02
CSF 2.0 – PR.DS (Data Security)
27002 – 8.24</t>
  </si>
  <si>
    <t xml:space="preserve">ISO/IEC 27002:2022, 5.24 / 5.26 / 5.14 ; NIST SP 800-61 Rev.3 / NIST CSF 2.0, RS.CO
</t>
  </si>
  <si>
    <t>ISO/IEC 27002:2022, 5.24 / 5.26 / 6.3 / 6.8 ; NIST SP 800-61 Rev.3 / NIST CSF 2.0, RS.CO</t>
  </si>
  <si>
    <t>ISO/IEC 27002:2022, 5.29 / 5.30 / 5.14 ; NIST CSF 2.0, PR.IR / RS.CO / RC.CO</t>
  </si>
  <si>
    <t>ISO/IEC 27002:2022, 5.2 / 5.4 / 5.24 ; NIST CSF 2.0, GV.RR / RS.MA</t>
  </si>
  <si>
    <t>ISO/IEC 27002:2022, 8.15 / 8.16 / 8.17 ; NIST CSF 2.0, DE.CM / DE.AE</t>
  </si>
  <si>
    <t>ISO/IEC 27002:2022, 5.26 / 8.7 / 8.20 / 8.22 ; NIST SP 800-61 Rev.3 / NIST CSF 2.0, RS.MI</t>
  </si>
  <si>
    <t>ISO/IEC 27002:2022, 5.26 / 5.37 ; NIST SP 800-61 Rev.3 / NIST CSF 2.0, RS.MA / RS.MI</t>
  </si>
  <si>
    <t>ISO/IEC 27002:2022, 5.19 / 5.20 / 5.21 / 5.22 ; NIST CSF 2.0, GV.SC / RS.MA</t>
  </si>
  <si>
    <t>ISO/IEC 27002:2022, 5.5 / 5.6 / 5.24 / 6.8 ; NIST SP 800-61 Rev.3 / NIST CSF 2.0, RS.CO</t>
  </si>
  <si>
    <t>ISO/IEC 27002:2022, 5.19 / 5.20 / 5.21 / 5.22 / 5.23 ; NIST CSF 2.0, GV.SC / RS.CO</t>
  </si>
  <si>
    <t>ISO/IEC 27002:2022, 5.25 / 5.26 / 8.16 ; NIST SP 800-61 Rev.3 / NIST CSF 2.0, DE.CM / RS.MA / ID.IM</t>
  </si>
  <si>
    <t>ISO/IEC 27002:2022, 5.27 / 5.35 / 5.36 / 5.37 ; NIST CSF 2.0, ID.IM</t>
  </si>
  <si>
    <t>ISO/IEC 27002:2022, 5.7 / 8.16 ; NIST CSF 2.0, ID.RA / DE.CM</t>
  </si>
  <si>
    <t>ISO/IEC 27002:2022, 5.27 / 5.24 / 5.26 ; NIST SP 800-61 Rev.3 / NIST CSF 2.0, RS.AN / ID.IM</t>
  </si>
  <si>
    <t>ISO/IEC 27002:2022, 5.24 / 5.29 / 5.30 ; NIST CSF 2.0, ID.IM / PR.IR</t>
  </si>
  <si>
    <t>ISO/IEC 27002:2022, 5.27 ; NIST CSF 2.0, ID.IM</t>
  </si>
  <si>
    <t>ISO/IEC 27002:2022, 5.2 / 5.4 / 5.24 / 5.26 ; NIST CSF 2.0, GV.RR / RS.MA</t>
  </si>
  <si>
    <t>ISO/IEC 27002:2022, 7.1 / 7.2 / 5.29 / 5.30 ; NIST CSF 2.0, PR.IR / RS.MA</t>
  </si>
  <si>
    <t>ISO/IEC 27002:2022, 5.12 / 5.13 / 5.34 / 8.12 / 8.15 ; NIST CSF 2.0, PR.DS / RS.AN / RS.MA</t>
  </si>
  <si>
    <t>ISO/IEC 27002:2022, 5.30 / 8.13 / 8.14 ; NIST SP 800-61 Rev.3 / NIST CSF 2.0, RC.RP / RC.CO</t>
  </si>
  <si>
    <t>ISO/IEC 27002:2022, 5.27 / 8.8 / 8.29 / 8.32 ; NIST CSF 2.0, ID.IM / RC.RP</t>
  </si>
  <si>
    <t>ATTRIBUTE</t>
  </si>
  <si>
    <t>VALUE</t>
  </si>
  <si>
    <t>Score Du Domaine</t>
  </si>
  <si>
    <t>Nb Question App</t>
  </si>
  <si>
    <t>DOMAINE</t>
  </si>
  <si>
    <t>POID</t>
  </si>
  <si>
    <t xml:space="preserve">Gouvernance </t>
  </si>
  <si>
    <t xml:space="preserve"> Forensics</t>
  </si>
  <si>
    <t>Continuité d’activité</t>
  </si>
  <si>
    <t>Gestion de crise</t>
  </si>
  <si>
    <t xml:space="preserve"> Gestion Incidents</t>
  </si>
  <si>
    <t>Confirmitee</t>
  </si>
  <si>
    <t>Score final</t>
  </si>
  <si>
    <t>Nb App</t>
  </si>
  <si>
    <t>Nb app</t>
  </si>
  <si>
    <t>Ponderation</t>
  </si>
  <si>
    <t>id</t>
  </si>
  <si>
    <t>min_score</t>
  </si>
  <si>
    <t>max_score</t>
  </si>
  <si>
    <t>order</t>
  </si>
  <si>
    <t>label</t>
  </si>
  <si>
    <t>NbQuestion</t>
  </si>
  <si>
    <t>NbQuestionApp</t>
  </si>
  <si>
    <t>ScoreDomain</t>
  </si>
  <si>
    <t>Auditeur</t>
  </si>
  <si>
    <t>Oumayma</t>
  </si>
  <si>
    <t>Dhia</t>
  </si>
</sst>
</file>

<file path=xl/styles.xml><?xml version="1.0" encoding="utf-8"?>
<styleSheet xmlns="http://schemas.openxmlformats.org/spreadsheetml/2006/main">
  <numFmts count="1">
    <numFmt numFmtId="164" formatCode="0.0"/>
  </numFmts>
  <fonts count="17">
    <font>
      <sz val="11"/>
      <color theme="1"/>
      <name val="Calibri"/>
      <family val="2"/>
      <scheme val="minor"/>
    </font>
    <font>
      <sz val="16"/>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25">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95">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3" borderId="0" xfId="0" applyFill="1"/>
    <xf numFmtId="9" fontId="6" fillId="5" borderId="3" xfId="0" applyNumberFormat="1" applyFont="1" applyFill="1" applyBorder="1" applyAlignment="1" applyProtection="1">
      <alignment horizontal="center" vertical="center" wrapText="1"/>
      <protection hidden="1"/>
    </xf>
    <xf numFmtId="0" fontId="0" fillId="0" borderId="3" xfId="0" applyBorder="1"/>
    <xf numFmtId="9" fontId="7" fillId="6" borderId="3" xfId="0" applyNumberFormat="1" applyFont="1" applyFill="1" applyBorder="1" applyAlignment="1" applyProtection="1">
      <alignment horizontal="left" vertical="center" wrapText="1"/>
      <protection hidden="1"/>
    </xf>
    <xf numFmtId="0" fontId="7" fillId="0" borderId="3" xfId="0" applyFont="1" applyBorder="1" applyAlignment="1">
      <alignment horizontal="left" vertical="center" wrapText="1"/>
    </xf>
    <xf numFmtId="0" fontId="4" fillId="0" borderId="3" xfId="0" applyFont="1" applyBorder="1" applyAlignment="1">
      <alignment vertical="center" wrapText="1"/>
    </xf>
    <xf numFmtId="9" fontId="7" fillId="6" borderId="3" xfId="0" applyNumberFormat="1" applyFont="1" applyFill="1" applyBorder="1" applyAlignment="1" applyProtection="1">
      <alignment vertical="center" wrapText="1"/>
      <protection hidden="1"/>
    </xf>
    <xf numFmtId="0" fontId="7" fillId="0" borderId="3" xfId="0" applyFont="1" applyBorder="1" applyAlignment="1">
      <alignment vertical="center" wrapText="1"/>
    </xf>
    <xf numFmtId="9" fontId="6" fillId="5" borderId="3" xfId="0" applyNumberFormat="1" applyFont="1" applyFill="1" applyBorder="1" applyAlignment="1" applyProtection="1">
      <alignment horizontal="center" wrapText="1"/>
      <protection hidden="1"/>
    </xf>
    <xf numFmtId="0" fontId="4" fillId="0" borderId="3" xfId="0" applyFont="1" applyBorder="1" applyAlignment="1">
      <alignment horizontal="center" vertical="center" wrapText="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4"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4" fillId="3" borderId="0" xfId="0" applyFont="1" applyFill="1" applyAlignment="1">
      <alignment horizontal="left" vertical="center" indent="1"/>
    </xf>
    <xf numFmtId="0" fontId="4" fillId="0" borderId="16" xfId="0" applyFont="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wrapText="1"/>
    </xf>
    <xf numFmtId="0" fontId="8" fillId="0" borderId="3" xfId="0" applyFont="1" applyBorder="1" applyAlignment="1">
      <alignment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7" fillId="6" borderId="3" xfId="0" applyFont="1" applyFill="1" applyBorder="1" applyAlignment="1">
      <alignment wrapText="1"/>
    </xf>
    <xf numFmtId="0" fontId="4" fillId="6" borderId="3" xfId="0" applyFont="1" applyFill="1" applyBorder="1" applyAlignment="1">
      <alignment vertical="center" wrapText="1"/>
    </xf>
    <xf numFmtId="0" fontId="7" fillId="6" borderId="3" xfId="0" applyFont="1" applyFill="1" applyBorder="1" applyAlignment="1">
      <alignment vertical="center" wrapText="1"/>
    </xf>
    <xf numFmtId="0" fontId="4" fillId="6" borderId="3" xfId="0" applyFont="1" applyFill="1" applyBorder="1" applyAlignment="1">
      <alignment wrapText="1"/>
    </xf>
    <xf numFmtId="0" fontId="0" fillId="2" borderId="8" xfId="0" applyFill="1" applyBorder="1" applyAlignment="1">
      <alignment horizontal="center" vertical="center"/>
    </xf>
    <xf numFmtId="0" fontId="0" fillId="0" borderId="16"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3" xfId="0" applyFont="1" applyFill="1" applyBorder="1" applyAlignment="1">
      <alignment horizontal="center" vertical="center" wrapText="1"/>
    </xf>
    <xf numFmtId="0" fontId="4" fillId="3" borderId="0" xfId="0" applyFont="1" applyFill="1" applyAlignment="1">
      <alignment vertical="center"/>
    </xf>
    <xf numFmtId="1" fontId="4" fillId="0" borderId="3" xfId="0" applyNumberFormat="1" applyFont="1" applyBorder="1"/>
    <xf numFmtId="0" fontId="0" fillId="0" borderId="3" xfId="0" applyBorder="1" applyAlignment="1">
      <alignment wrapText="1"/>
    </xf>
    <xf numFmtId="9" fontId="9" fillId="7" borderId="3" xfId="0" applyNumberFormat="1" applyFont="1" applyFill="1" applyBorder="1" applyAlignment="1" applyProtection="1">
      <alignment horizontal="center" vertical="center" wrapText="1"/>
      <protection hidden="1"/>
    </xf>
    <xf numFmtId="0" fontId="5" fillId="0" borderId="3" xfId="0" applyFont="1" applyBorder="1" applyAlignment="1">
      <alignment horizontal="left" vertical="center" wrapText="1"/>
    </xf>
    <xf numFmtId="0" fontId="7" fillId="0" borderId="0" xfId="0" applyFont="1" applyAlignment="1">
      <alignment vertical="center" wrapText="1"/>
    </xf>
    <xf numFmtId="0" fontId="4" fillId="0" borderId="0" xfId="0" applyFont="1" applyAlignment="1">
      <alignment vertical="center" wrapText="1"/>
    </xf>
    <xf numFmtId="0" fontId="4" fillId="0" borderId="0" xfId="0" applyFont="1"/>
    <xf numFmtId="0" fontId="0" fillId="0" borderId="0" xfId="0" applyAlignment="1">
      <alignment horizontal="left"/>
    </xf>
    <xf numFmtId="0" fontId="0" fillId="0" borderId="0" xfId="0" applyAlignment="1">
      <alignment vertical="center" wrapText="1"/>
    </xf>
    <xf numFmtId="0" fontId="0" fillId="6" borderId="0" xfId="0" applyFill="1"/>
    <xf numFmtId="0" fontId="0" fillId="6" borderId="0" xfId="0" applyFill="1" applyAlignment="1">
      <alignment vertical="center" wrapText="1"/>
    </xf>
    <xf numFmtId="0" fontId="0" fillId="6" borderId="0" xfId="0" applyFill="1" applyAlignment="1">
      <alignment horizontal="left"/>
    </xf>
    <xf numFmtId="0" fontId="0" fillId="9" borderId="0" xfId="0" applyFill="1" applyAlignment="1">
      <alignment horizontal="center"/>
    </xf>
    <xf numFmtId="9" fontId="6" fillId="5" borderId="0" xfId="0" applyNumberFormat="1" applyFont="1" applyFill="1" applyAlignment="1" applyProtection="1">
      <alignment horizontal="center" vertical="center" wrapText="1"/>
      <protection hidden="1"/>
    </xf>
    <xf numFmtId="9" fontId="11" fillId="5" borderId="3" xfId="0" applyNumberFormat="1" applyFont="1" applyFill="1" applyBorder="1" applyAlignment="1" applyProtection="1">
      <alignment horizontal="center" vertical="center" wrapText="1"/>
      <protection hidden="1"/>
    </xf>
    <xf numFmtId="9" fontId="11" fillId="5" borderId="0" xfId="0" applyNumberFormat="1" applyFont="1" applyFill="1" applyAlignment="1" applyProtection="1">
      <alignment horizontal="center" vertical="center" wrapText="1"/>
      <protection hidden="1"/>
    </xf>
    <xf numFmtId="0" fontId="10" fillId="0" borderId="0" xfId="0" applyFont="1" applyAlignment="1">
      <alignment vertical="center"/>
    </xf>
    <xf numFmtId="0" fontId="12" fillId="0" borderId="17"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0" fillId="0" borderId="7" xfId="0" applyBorder="1" applyAlignment="1">
      <alignment horizontal="center" vertical="center" wrapText="1"/>
    </xf>
    <xf numFmtId="0" fontId="4" fillId="8" borderId="3" xfId="0" applyFont="1" applyFill="1" applyBorder="1" applyAlignment="1">
      <alignment horizontal="center" vertical="center" wrapText="1"/>
    </xf>
    <xf numFmtId="0" fontId="0" fillId="8" borderId="3" xfId="0" applyFill="1" applyBorder="1"/>
    <xf numFmtId="0" fontId="4"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10" fillId="6" borderId="0" xfId="0" applyFont="1" applyFill="1" applyAlignment="1">
      <alignment horizontal="center" vertical="center"/>
    </xf>
    <xf numFmtId="0" fontId="0" fillId="6" borderId="3" xfId="0" applyFill="1" applyBorder="1" applyAlignment="1">
      <alignment horizontal="left" vertical="center" wrapText="1"/>
    </xf>
    <xf numFmtId="0" fontId="0" fillId="0" borderId="6" xfId="0" applyBorder="1" applyAlignment="1">
      <alignment vertical="center" wrapText="1"/>
    </xf>
    <xf numFmtId="0" fontId="0" fillId="6" borderId="3" xfId="0" applyFill="1"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0" fontId="0" fillId="6" borderId="3" xfId="0" applyFill="1" applyBorder="1" applyAlignment="1">
      <alignment horizontal="center" vertical="center" wrapText="1"/>
    </xf>
    <xf numFmtId="9" fontId="6" fillId="5" borderId="3" xfId="0" applyNumberFormat="1" applyFont="1" applyFill="1" applyBorder="1" applyAlignment="1" applyProtection="1">
      <alignment horizontal="left" vertical="center" wrapText="1"/>
      <protection hidden="1"/>
    </xf>
    <xf numFmtId="0" fontId="4" fillId="6" borderId="3" xfId="0" applyFont="1" applyFill="1" applyBorder="1" applyAlignment="1">
      <alignment horizontal="center" vertical="center"/>
    </xf>
    <xf numFmtId="0" fontId="13"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vertical="center" wrapText="1"/>
    </xf>
    <xf numFmtId="0" fontId="0" fillId="6" borderId="3" xfId="0" applyFill="1" applyBorder="1"/>
    <xf numFmtId="1" fontId="10" fillId="3" borderId="18" xfId="0" applyNumberFormat="1" applyFont="1" applyFill="1" applyBorder="1" applyAlignment="1">
      <alignment horizontal="center" vertical="center"/>
    </xf>
    <xf numFmtId="1" fontId="10" fillId="8" borderId="23" xfId="0" applyNumberFormat="1" applyFont="1" applyFill="1" applyBorder="1" applyAlignment="1">
      <alignment horizontal="center" vertical="center"/>
    </xf>
    <xf numFmtId="1" fontId="10" fillId="10" borderId="23" xfId="0" applyNumberFormat="1" applyFont="1" applyFill="1" applyBorder="1" applyAlignment="1">
      <alignment horizontal="center" vertical="center"/>
    </xf>
    <xf numFmtId="1" fontId="10" fillId="11" borderId="19" xfId="0" applyNumberFormat="1" applyFont="1" applyFill="1" applyBorder="1" applyAlignment="1">
      <alignment horizontal="center" vertical="center"/>
    </xf>
    <xf numFmtId="1" fontId="0" fillId="0" borderId="0" xfId="0" applyNumberFormat="1"/>
    <xf numFmtId="1" fontId="12" fillId="0" borderId="0" xfId="0" applyNumberFormat="1" applyFont="1" applyAlignment="1">
      <alignment horizontal="center" vertical="center"/>
    </xf>
    <xf numFmtId="1" fontId="10" fillId="0" borderId="0" xfId="0" applyNumberFormat="1" applyFont="1" applyAlignment="1">
      <alignment vertical="center"/>
    </xf>
    <xf numFmtId="2" fontId="0" fillId="0" borderId="0" xfId="0" applyNumberFormat="1"/>
    <xf numFmtId="49" fontId="12" fillId="0" borderId="18" xfId="0" applyNumberFormat="1" applyFont="1" applyBorder="1" applyAlignment="1">
      <alignment horizontal="center" vertical="center"/>
    </xf>
    <xf numFmtId="49" fontId="12" fillId="0" borderId="17" xfId="0" applyNumberFormat="1" applyFont="1" applyBorder="1" applyAlignment="1">
      <alignment horizontal="center" vertical="center"/>
    </xf>
    <xf numFmtId="49" fontId="0" fillId="0" borderId="0" xfId="0" applyNumberFormat="1"/>
    <xf numFmtId="2" fontId="15" fillId="8" borderId="23" xfId="0" applyNumberFormat="1" applyFont="1" applyFill="1" applyBorder="1" applyAlignment="1">
      <alignment horizontal="center" vertical="center"/>
    </xf>
    <xf numFmtId="49" fontId="4" fillId="0" borderId="3" xfId="0" applyNumberFormat="1" applyFont="1" applyBorder="1" applyAlignment="1">
      <alignment horizontal="center" vertical="center" wrapText="1"/>
    </xf>
    <xf numFmtId="49" fontId="4"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12" fillId="0" borderId="18" xfId="0" applyFont="1" applyBorder="1" applyAlignment="1">
      <alignment vertical="center"/>
    </xf>
    <xf numFmtId="2" fontId="14" fillId="8" borderId="18" xfId="0" applyNumberFormat="1" applyFont="1" applyFill="1" applyBorder="1" applyAlignment="1">
      <alignment horizontal="center" vertical="center"/>
    </xf>
    <xf numFmtId="0" fontId="10" fillId="3" borderId="18" xfId="0" applyFont="1" applyFill="1" applyBorder="1" applyAlignment="1">
      <alignment vertical="center"/>
    </xf>
    <xf numFmtId="0" fontId="10" fillId="3" borderId="17" xfId="0" applyFont="1" applyFill="1" applyBorder="1" applyAlignment="1">
      <alignment vertical="center"/>
    </xf>
    <xf numFmtId="1" fontId="10" fillId="8" borderId="17" xfId="0" applyNumberFormat="1" applyFont="1" applyFill="1" applyBorder="1" applyAlignment="1">
      <alignment vertical="center"/>
    </xf>
    <xf numFmtId="1" fontId="10" fillId="10" borderId="20" xfId="0" applyNumberFormat="1" applyFont="1" applyFill="1" applyBorder="1" applyAlignment="1">
      <alignment vertical="center"/>
    </xf>
    <xf numFmtId="1" fontId="10" fillId="11" borderId="14" xfId="0" applyNumberFormat="1" applyFont="1" applyFill="1" applyBorder="1" applyAlignment="1">
      <alignment vertical="center"/>
    </xf>
    <xf numFmtId="49" fontId="12" fillId="0" borderId="20" xfId="0" applyNumberFormat="1" applyFont="1" applyBorder="1" applyAlignment="1">
      <alignment horizontal="center" vertical="center"/>
    </xf>
    <xf numFmtId="49" fontId="12" fillId="0" borderId="13" xfId="0" applyNumberFormat="1" applyFont="1" applyBorder="1" applyAlignment="1">
      <alignment horizontal="center" vertical="center"/>
    </xf>
    <xf numFmtId="0" fontId="0" fillId="0" borderId="3" xfId="0" applyBorder="1" applyAlignment="1">
      <alignment horizontal="center"/>
    </xf>
    <xf numFmtId="0" fontId="0" fillId="0" borderId="3" xfId="0" applyBorder="1" applyAlignment="1">
      <alignment horizontal="center" wrapText="1"/>
    </xf>
    <xf numFmtId="0" fontId="4" fillId="0" borderId="3" xfId="0" applyFont="1" applyBorder="1" applyAlignment="1">
      <alignment horizontal="center" vertical="center" wrapText="1"/>
    </xf>
    <xf numFmtId="0" fontId="4" fillId="0" borderId="0" xfId="0" applyFont="1" applyFill="1" applyBorder="1" applyAlignment="1">
      <alignment horizontal="center" vertical="center"/>
    </xf>
    <xf numFmtId="2" fontId="14" fillId="0" borderId="0" xfId="0" applyNumberFormat="1" applyFont="1" applyFill="1" applyBorder="1" applyAlignment="1">
      <alignment horizontal="center" vertical="center"/>
    </xf>
    <xf numFmtId="9" fontId="6" fillId="3" borderId="3" xfId="0" applyNumberFormat="1" applyFont="1" applyFill="1" applyBorder="1" applyAlignment="1" applyProtection="1">
      <alignment horizontal="center" vertical="center" wrapText="1"/>
      <protection hidden="1"/>
    </xf>
    <xf numFmtId="0" fontId="12" fillId="0" borderId="24" xfId="0" applyFont="1" applyBorder="1" applyAlignment="1">
      <alignment horizontal="center" vertical="center"/>
    </xf>
    <xf numFmtId="0" fontId="14" fillId="0" borderId="0" xfId="0" applyFont="1" applyFill="1" applyBorder="1" applyAlignment="1">
      <alignment horizontal="center" vertical="center"/>
    </xf>
    <xf numFmtId="0" fontId="1" fillId="0" borderId="0" xfId="0" quotePrefix="1" applyFont="1" applyBorder="1" applyAlignment="1">
      <alignment horizontal="center" vertical="center" wrapText="1"/>
    </xf>
    <xf numFmtId="0" fontId="4" fillId="0" borderId="3" xfId="0" applyFont="1" applyBorder="1"/>
    <xf numFmtId="0" fontId="4" fillId="0" borderId="3" xfId="0" applyFont="1" applyBorder="1" applyAlignment="1">
      <alignment horizontal="center" wrapText="1"/>
    </xf>
    <xf numFmtId="2" fontId="0" fillId="0" borderId="3" xfId="0" applyNumberFormat="1" applyBorder="1" applyAlignment="1">
      <alignment horizontal="center"/>
    </xf>
    <xf numFmtId="1" fontId="0" fillId="0" borderId="3" xfId="0" applyNumberFormat="1" applyBorder="1" applyAlignment="1">
      <alignment horizontal="center"/>
    </xf>
    <xf numFmtId="0" fontId="0" fillId="0" borderId="3" xfId="0" applyBorder="1" applyAlignment="1">
      <alignment horizontal="center" vertical="center" wrapText="1"/>
    </xf>
    <xf numFmtId="164" fontId="0" fillId="0" borderId="3" xfId="0" applyNumberFormat="1" applyBorder="1" applyAlignment="1">
      <alignment horizontal="center"/>
    </xf>
    <xf numFmtId="0" fontId="4" fillId="4" borderId="4" xfId="0" applyFont="1" applyFill="1" applyBorder="1" applyAlignment="1">
      <alignment horizontal="center"/>
    </xf>
    <xf numFmtId="0" fontId="4" fillId="4" borderId="5" xfId="0" applyFont="1" applyFill="1" applyBorder="1" applyAlignment="1">
      <alignment horizontal="center"/>
    </xf>
    <xf numFmtId="0" fontId="4" fillId="4" borderId="6" xfId="0" applyFont="1" applyFill="1" applyBorder="1" applyAlignment="1">
      <alignment horizont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7"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15" xfId="0"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center" vertical="center" wrapText="1"/>
    </xf>
    <xf numFmtId="0" fontId="0" fillId="0" borderId="7" xfId="0" applyBorder="1" applyAlignment="1">
      <alignment horizontal="center" vertical="center"/>
    </xf>
    <xf numFmtId="0" fontId="0" fillId="0" borderId="15"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15" xfId="0" applyBorder="1" applyAlignment="1">
      <alignment horizontal="left" vertical="center" wrapText="1"/>
    </xf>
    <xf numFmtId="0" fontId="10" fillId="10" borderId="20" xfId="0" applyFont="1" applyFill="1" applyBorder="1" applyAlignment="1">
      <alignment horizontal="center" vertical="center"/>
    </xf>
    <xf numFmtId="0" fontId="10" fillId="10" borderId="21" xfId="0" applyFont="1" applyFill="1" applyBorder="1" applyAlignment="1">
      <alignment horizontal="center" vertical="center"/>
    </xf>
    <xf numFmtId="0" fontId="10" fillId="10" borderId="22" xfId="0" applyFont="1" applyFill="1" applyBorder="1" applyAlignment="1">
      <alignment horizontal="center" vertical="center"/>
    </xf>
    <xf numFmtId="0" fontId="10" fillId="11" borderId="20" xfId="0" applyFont="1" applyFill="1" applyBorder="1" applyAlignment="1">
      <alignment horizontal="center" vertical="center"/>
    </xf>
    <xf numFmtId="0" fontId="10" fillId="11" borderId="21" xfId="0" applyFont="1" applyFill="1" applyBorder="1" applyAlignment="1">
      <alignment horizontal="center" vertical="center"/>
    </xf>
    <xf numFmtId="0" fontId="10" fillId="11" borderId="22" xfId="0" applyFont="1" applyFill="1" applyBorder="1" applyAlignment="1">
      <alignment horizontal="center" vertical="center"/>
    </xf>
    <xf numFmtId="0" fontId="5" fillId="0" borderId="3" xfId="0" applyFont="1" applyBorder="1" applyAlignment="1">
      <alignment horizontal="left" vertical="center" wrapText="1"/>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10" fillId="3" borderId="13" xfId="0" applyFont="1" applyFill="1" applyBorder="1" applyAlignment="1">
      <alignment horizontal="center" vertical="center"/>
    </xf>
    <xf numFmtId="2" fontId="10" fillId="8" borderId="20" xfId="0" applyNumberFormat="1" applyFont="1" applyFill="1" applyBorder="1" applyAlignment="1">
      <alignment horizontal="center" vertical="center"/>
    </xf>
    <xf numFmtId="2" fontId="10" fillId="8" borderId="21" xfId="0" applyNumberFormat="1" applyFont="1" applyFill="1" applyBorder="1" applyAlignment="1">
      <alignment horizontal="center" vertical="center"/>
    </xf>
    <xf numFmtId="2" fontId="10" fillId="8" borderId="22" xfId="0" applyNumberFormat="1" applyFont="1" applyFill="1" applyBorder="1" applyAlignment="1">
      <alignment horizontal="center" vertical="center"/>
    </xf>
    <xf numFmtId="0" fontId="0" fillId="9" borderId="0" xfId="0" applyFill="1" applyAlignment="1">
      <alignment horizontal="center"/>
    </xf>
    <xf numFmtId="0" fontId="0" fillId="9" borderId="2" xfId="0" applyFill="1" applyBorder="1" applyAlignment="1">
      <alignment horizontal="center"/>
    </xf>
    <xf numFmtId="0" fontId="0" fillId="9" borderId="1" xfId="0" applyFill="1" applyBorder="1" applyAlignment="1">
      <alignment horizontal="center"/>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0" fillId="3" borderId="10" xfId="0" applyFont="1" applyFill="1" applyBorder="1" applyAlignment="1">
      <alignment horizontal="center" vertical="center"/>
    </xf>
    <xf numFmtId="0" fontId="10" fillId="3" borderId="12" xfId="0" applyFont="1" applyFill="1" applyBorder="1" applyAlignment="1">
      <alignment horizontal="center" vertical="center"/>
    </xf>
    <xf numFmtId="0" fontId="10" fillId="3" borderId="14" xfId="0" applyFont="1" applyFill="1" applyBorder="1" applyAlignment="1">
      <alignment horizontal="center" vertical="center"/>
    </xf>
    <xf numFmtId="0" fontId="10" fillId="8" borderId="20" xfId="0" applyFont="1" applyFill="1" applyBorder="1" applyAlignment="1">
      <alignment horizontal="center" vertical="center"/>
    </xf>
    <xf numFmtId="0" fontId="10" fillId="8" borderId="21" xfId="0" applyFont="1" applyFill="1" applyBorder="1" applyAlignment="1">
      <alignment horizontal="center" vertical="center"/>
    </xf>
    <xf numFmtId="0" fontId="10" fillId="8" borderId="22" xfId="0" applyFont="1" applyFill="1" applyBorder="1" applyAlignment="1">
      <alignment horizontal="center" vertical="center"/>
    </xf>
    <xf numFmtId="49" fontId="12" fillId="0" borderId="18" xfId="0" applyNumberFormat="1" applyFont="1" applyBorder="1" applyAlignment="1">
      <alignment horizontal="center" vertical="center"/>
    </xf>
    <xf numFmtId="49" fontId="12" fillId="0" borderId="19" xfId="0" applyNumberFormat="1" applyFont="1" applyBorder="1" applyAlignment="1">
      <alignment horizontal="center" vertical="center"/>
    </xf>
    <xf numFmtId="0" fontId="0" fillId="0" borderId="3" xfId="0" applyBorder="1" applyAlignment="1">
      <alignment horizontal="center" wrapText="1"/>
    </xf>
    <xf numFmtId="0" fontId="0" fillId="0" borderId="3" xfId="0" applyBorder="1" applyAlignment="1">
      <alignment horizontal="center" vertical="center"/>
    </xf>
    <xf numFmtId="0" fontId="7" fillId="0" borderId="3" xfId="0" applyFont="1" applyBorder="1" applyAlignment="1">
      <alignment horizontal="left" vertical="center" wrapText="1"/>
    </xf>
    <xf numFmtId="0" fontId="7" fillId="0" borderId="3" xfId="0" applyFont="1" applyBorder="1" applyAlignment="1">
      <alignment horizontal="center" vertical="center" wrapText="1"/>
    </xf>
    <xf numFmtId="0" fontId="4" fillId="0" borderId="3" xfId="0" applyFont="1" applyBorder="1" applyAlignment="1">
      <alignment horizontal="center" vertical="center" wrapText="1"/>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10" fillId="3" borderId="22" xfId="0" applyFont="1" applyFill="1" applyBorder="1" applyAlignment="1">
      <alignment horizontal="center" vertical="center"/>
    </xf>
    <xf numFmtId="0" fontId="7" fillId="6" borderId="3" xfId="0" applyFont="1" applyFill="1" applyBorder="1" applyAlignment="1">
      <alignment horizontal="center"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0" fillId="6" borderId="3" xfId="0" applyFill="1" applyBorder="1" applyAlignment="1">
      <alignment horizontal="left" vertical="center" wrapText="1"/>
    </xf>
    <xf numFmtId="0" fontId="0" fillId="6" borderId="7" xfId="0" applyFill="1" applyBorder="1" applyAlignment="1">
      <alignment horizontal="center" vertical="center" wrapText="1"/>
    </xf>
    <xf numFmtId="0" fontId="0" fillId="6" borderId="8" xfId="0" applyFill="1" applyBorder="1" applyAlignment="1">
      <alignment horizontal="center" vertical="center" wrapText="1"/>
    </xf>
    <xf numFmtId="0" fontId="0" fillId="6" borderId="15" xfId="0" applyFill="1" applyBorder="1" applyAlignment="1">
      <alignment horizontal="center" vertical="center" wrapText="1"/>
    </xf>
    <xf numFmtId="0" fontId="0" fillId="6" borderId="3" xfId="0" applyFill="1" applyBorder="1" applyAlignment="1">
      <alignment vertical="center" wrapText="1"/>
    </xf>
    <xf numFmtId="1" fontId="16" fillId="11" borderId="19" xfId="0" applyNumberFormat="1" applyFont="1" applyFill="1" applyBorder="1" applyAlignment="1">
      <alignment horizontal="center" vertical="center"/>
    </xf>
    <xf numFmtId="49" fontId="0" fillId="0" borderId="3" xfId="0" applyNumberFormat="1" applyBorder="1"/>
  </cellXfs>
  <cellStyles count="1">
    <cellStyle name="Normal" xfId="0" builtinId="0"/>
  </cellStyles>
  <dxfs count="49">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customWidth="1"/>
    <col min="4" max="4" width="17.6640625" customWidth="1"/>
    <col min="5" max="5" width="16.77734375" customWidth="1"/>
    <col min="10" max="10" width="16.77734375" customWidth="1"/>
    <col min="11" max="11" width="22.21875" customWidth="1"/>
    <col min="12" max="12" width="16.5546875" customWidth="1"/>
    <col min="13" max="13" width="13.21875" customWidth="1"/>
    <col min="15" max="15" width="13.44140625" customWidth="1"/>
    <col min="16" max="16" width="14.77734375" customWidth="1"/>
    <col min="18" max="18" width="6.77734375" customWidth="1"/>
    <col min="20" max="20" width="11.44140625" style="97"/>
    <col min="21" max="21" width="11.44140625" style="94"/>
    <col min="28" max="28" width="11.44140625" customWidth="1"/>
  </cols>
  <sheetData>
    <row r="1" spans="1:31">
      <c r="A1" s="50"/>
      <c r="B1" s="50"/>
      <c r="C1" s="50"/>
      <c r="D1" s="50"/>
      <c r="E1" s="50"/>
      <c r="F1" s="50"/>
      <c r="G1" s="50"/>
      <c r="H1" s="50"/>
      <c r="I1" s="50"/>
      <c r="J1" s="50"/>
      <c r="K1" s="50"/>
      <c r="L1" s="50"/>
      <c r="M1" s="50"/>
      <c r="N1" s="50"/>
      <c r="O1" s="50"/>
      <c r="P1" s="50"/>
      <c r="Q1" s="50"/>
      <c r="R1" s="50"/>
      <c r="S1" s="50"/>
      <c r="T1" s="99" t="s">
        <v>592</v>
      </c>
      <c r="U1" s="99" t="s">
        <v>593</v>
      </c>
      <c r="V1" s="99" t="s">
        <v>592</v>
      </c>
      <c r="W1" s="99" t="s">
        <v>593</v>
      </c>
      <c r="X1" s="99" t="s">
        <v>592</v>
      </c>
      <c r="Y1" s="99" t="s">
        <v>593</v>
      </c>
      <c r="Z1" s="99" t="s">
        <v>592</v>
      </c>
      <c r="AA1" s="99" t="s">
        <v>593</v>
      </c>
      <c r="AB1" s="99" t="s">
        <v>592</v>
      </c>
      <c r="AC1" s="99" t="s">
        <v>593</v>
      </c>
      <c r="AD1" s="99" t="s">
        <v>592</v>
      </c>
      <c r="AE1" s="99" t="s">
        <v>593</v>
      </c>
    </row>
    <row r="2" spans="1:31" ht="15.6">
      <c r="B2" s="5"/>
      <c r="C2" s="5"/>
      <c r="D2" s="5"/>
      <c r="E2" s="5"/>
      <c r="F2" s="5"/>
      <c r="G2" s="5"/>
      <c r="H2" s="5"/>
      <c r="I2" s="5"/>
      <c r="J2" s="5"/>
      <c r="K2" s="5"/>
      <c r="L2" s="5"/>
      <c r="M2" s="5"/>
      <c r="N2" s="5"/>
      <c r="O2" s="5"/>
      <c r="P2" s="5"/>
      <c r="Q2" s="5"/>
      <c r="R2" s="5"/>
      <c r="T2" s="99" t="s">
        <v>135</v>
      </c>
      <c r="U2" s="81">
        <v>23</v>
      </c>
      <c r="V2" s="99" t="s">
        <v>136</v>
      </c>
      <c r="W2" s="81">
        <v>12</v>
      </c>
      <c r="X2" s="99" t="s">
        <v>137</v>
      </c>
      <c r="Y2" s="81">
        <v>35</v>
      </c>
      <c r="Z2" s="99" t="s">
        <v>138</v>
      </c>
      <c r="AA2" s="81">
        <v>23</v>
      </c>
      <c r="AB2" s="99" t="s">
        <v>139</v>
      </c>
      <c r="AC2" s="81">
        <v>3</v>
      </c>
      <c r="AD2" s="99" t="s">
        <v>219</v>
      </c>
      <c r="AE2" s="81">
        <v>4</v>
      </c>
    </row>
    <row r="3" spans="1:31" ht="28.8">
      <c r="A3" s="50"/>
      <c r="B3" s="5"/>
      <c r="C3" s="131" t="s">
        <v>133</v>
      </c>
      <c r="D3" s="133"/>
      <c r="E3" s="133"/>
      <c r="F3" s="133"/>
      <c r="G3" s="133"/>
      <c r="H3" s="133"/>
      <c r="I3" s="132"/>
      <c r="J3" s="40"/>
      <c r="K3" s="131" t="s">
        <v>134</v>
      </c>
      <c r="L3" s="132"/>
      <c r="M3" s="40"/>
      <c r="N3" s="38" t="s">
        <v>148</v>
      </c>
      <c r="O3" s="39" t="s">
        <v>305</v>
      </c>
      <c r="P3" s="38" t="s">
        <v>217</v>
      </c>
      <c r="Q3" s="38" t="s">
        <v>270</v>
      </c>
      <c r="R3" s="5"/>
    </row>
    <row r="4" spans="1:31">
      <c r="A4" s="50"/>
      <c r="B4" s="5"/>
      <c r="C4" s="23"/>
      <c r="D4" s="14" t="s">
        <v>135</v>
      </c>
      <c r="E4" s="14" t="s">
        <v>136</v>
      </c>
      <c r="F4" s="14" t="s">
        <v>137</v>
      </c>
      <c r="G4" s="14" t="s">
        <v>138</v>
      </c>
      <c r="H4" s="14" t="s">
        <v>139</v>
      </c>
      <c r="I4" s="14" t="s">
        <v>219</v>
      </c>
      <c r="J4" s="19"/>
      <c r="K4" s="129" t="s">
        <v>140</v>
      </c>
      <c r="L4" s="130"/>
      <c r="M4" s="5"/>
      <c r="N4" s="62" t="s">
        <v>135</v>
      </c>
      <c r="O4" s="63">
        <f t="shared" ref="O4:O9" si="0">(72/100)*L16</f>
        <v>19.079999999999998</v>
      </c>
      <c r="P4" s="64">
        <v>18</v>
      </c>
      <c r="Q4" s="64">
        <v>18</v>
      </c>
      <c r="R4" s="5"/>
      <c r="S4" s="50"/>
    </row>
    <row r="5" spans="1:31">
      <c r="A5" s="50"/>
      <c r="B5" s="5"/>
      <c r="C5" s="14" t="s">
        <v>135</v>
      </c>
      <c r="D5" s="15">
        <v>1</v>
      </c>
      <c r="E5" s="15">
        <v>4</v>
      </c>
      <c r="F5" s="15">
        <v>0.75</v>
      </c>
      <c r="G5" s="15">
        <v>1</v>
      </c>
      <c r="H5" s="16">
        <v>5</v>
      </c>
      <c r="I5" s="16">
        <v>4</v>
      </c>
      <c r="J5" s="20"/>
      <c r="K5" s="129" t="s">
        <v>141</v>
      </c>
      <c r="L5" s="130"/>
      <c r="M5" s="5"/>
      <c r="N5" s="62" t="s">
        <v>136</v>
      </c>
      <c r="O5" s="63">
        <f t="shared" si="0"/>
        <v>13.32</v>
      </c>
      <c r="P5" s="64">
        <v>17</v>
      </c>
      <c r="Q5" s="64">
        <v>17</v>
      </c>
      <c r="R5" s="5"/>
      <c r="S5" s="50"/>
    </row>
    <row r="6" spans="1:31">
      <c r="A6" s="50"/>
      <c r="B6" s="5"/>
      <c r="C6" s="14" t="s">
        <v>136</v>
      </c>
      <c r="D6" s="15">
        <v>0.25</v>
      </c>
      <c r="E6" s="15">
        <v>1</v>
      </c>
      <c r="F6" s="15">
        <v>0.66666666666666663</v>
      </c>
      <c r="G6" s="15">
        <v>0.25</v>
      </c>
      <c r="H6" s="16">
        <v>4</v>
      </c>
      <c r="I6" s="16">
        <v>3</v>
      </c>
      <c r="J6" s="20"/>
      <c r="K6" s="129" t="s">
        <v>142</v>
      </c>
      <c r="L6" s="130"/>
      <c r="M6" s="5"/>
      <c r="N6" s="62" t="s">
        <v>137</v>
      </c>
      <c r="O6" s="63">
        <f t="shared" si="0"/>
        <v>14.399999999999999</v>
      </c>
      <c r="P6" s="64">
        <v>20</v>
      </c>
      <c r="Q6" s="64">
        <v>22</v>
      </c>
      <c r="R6" s="5"/>
      <c r="S6" s="50"/>
    </row>
    <row r="7" spans="1:31" ht="15.6">
      <c r="A7" s="50"/>
      <c r="B7" s="5"/>
      <c r="C7" s="14" t="s">
        <v>137</v>
      </c>
      <c r="D7" s="15">
        <v>4</v>
      </c>
      <c r="E7" s="15">
        <v>1.5</v>
      </c>
      <c r="F7" s="15">
        <v>1</v>
      </c>
      <c r="G7" s="15">
        <v>2</v>
      </c>
      <c r="H7" s="16">
        <v>7</v>
      </c>
      <c r="I7" s="16">
        <v>6</v>
      </c>
      <c r="J7" s="20"/>
      <c r="K7" s="129" t="s">
        <v>143</v>
      </c>
      <c r="L7" s="130"/>
      <c r="M7" s="5"/>
      <c r="N7" s="62" t="s">
        <v>138</v>
      </c>
      <c r="O7" s="63">
        <f t="shared" si="0"/>
        <v>16.559999999999999</v>
      </c>
      <c r="P7" s="64">
        <v>11</v>
      </c>
      <c r="Q7" s="64">
        <v>11</v>
      </c>
      <c r="R7" s="5"/>
      <c r="S7" s="50"/>
      <c r="T7" s="100"/>
      <c r="U7" s="101"/>
    </row>
    <row r="8" spans="1:31">
      <c r="A8" s="50"/>
      <c r="B8" s="5"/>
      <c r="C8" s="14" t="s">
        <v>138</v>
      </c>
      <c r="D8" s="15">
        <v>1</v>
      </c>
      <c r="E8" s="15">
        <v>4</v>
      </c>
      <c r="F8" s="15">
        <v>0.5</v>
      </c>
      <c r="G8" s="15">
        <v>1</v>
      </c>
      <c r="H8" s="16">
        <v>6</v>
      </c>
      <c r="I8" s="16">
        <v>5</v>
      </c>
      <c r="J8" s="20"/>
      <c r="K8" s="129" t="s">
        <v>144</v>
      </c>
      <c r="L8" s="130"/>
      <c r="M8" s="5"/>
      <c r="N8" s="62" t="s">
        <v>139</v>
      </c>
      <c r="O8" s="63">
        <f t="shared" si="0"/>
        <v>4.32</v>
      </c>
      <c r="P8" s="64">
        <v>3</v>
      </c>
      <c r="Q8" s="64">
        <v>3</v>
      </c>
      <c r="R8" s="5"/>
      <c r="S8" s="50"/>
    </row>
    <row r="9" spans="1:31">
      <c r="A9" s="50"/>
      <c r="B9" s="5"/>
      <c r="C9" s="14" t="s">
        <v>139</v>
      </c>
      <c r="D9" s="16">
        <v>0.2</v>
      </c>
      <c r="E9" s="16">
        <v>0.25</v>
      </c>
      <c r="F9" s="16">
        <v>0.14285714285714285</v>
      </c>
      <c r="G9" s="16">
        <v>0.16666666666666666</v>
      </c>
      <c r="H9" s="16">
        <v>1</v>
      </c>
      <c r="I9" s="16">
        <v>0.66666666666666663</v>
      </c>
      <c r="J9" s="20"/>
      <c r="K9" s="129" t="s">
        <v>145</v>
      </c>
      <c r="L9" s="130"/>
      <c r="M9" s="5"/>
      <c r="N9" s="62" t="s">
        <v>219</v>
      </c>
      <c r="O9" s="63">
        <f t="shared" si="0"/>
        <v>4.32</v>
      </c>
      <c r="P9" s="64">
        <v>3</v>
      </c>
      <c r="Q9" s="64">
        <v>4</v>
      </c>
      <c r="R9" s="5"/>
      <c r="S9" s="50"/>
    </row>
    <row r="10" spans="1:31" ht="28.8">
      <c r="A10" s="50"/>
      <c r="B10" s="5"/>
      <c r="C10" s="14" t="s">
        <v>219</v>
      </c>
      <c r="D10" s="16">
        <v>0.25</v>
      </c>
      <c r="E10" s="16">
        <v>0.33333333333333331</v>
      </c>
      <c r="F10" s="16">
        <v>0.16666666666666666</v>
      </c>
      <c r="G10" s="16">
        <v>0.2</v>
      </c>
      <c r="H10" s="16">
        <v>1.5</v>
      </c>
      <c r="I10" s="16">
        <v>1</v>
      </c>
      <c r="J10" s="20"/>
      <c r="K10" s="20"/>
      <c r="L10" s="20"/>
      <c r="M10" s="5"/>
      <c r="N10" s="10" t="s">
        <v>220</v>
      </c>
      <c r="O10" s="7">
        <f>SUM(O4:O9)</f>
        <v>72</v>
      </c>
      <c r="P10" s="41">
        <f>SUM(P4:P9)</f>
        <v>72</v>
      </c>
      <c r="Q10" s="41">
        <f>SUM(Q4:Q9)</f>
        <v>75</v>
      </c>
      <c r="R10" s="5"/>
      <c r="S10" s="50"/>
    </row>
    <row r="11" spans="1:31">
      <c r="A11" s="50"/>
      <c r="B11" s="5"/>
      <c r="C11" s="14" t="s">
        <v>146</v>
      </c>
      <c r="D11" s="18">
        <f>SUM(D5:D10)</f>
        <v>6.7</v>
      </c>
      <c r="E11" s="18">
        <f t="shared" ref="E11:I11" si="1">SUM(E5:E10)</f>
        <v>11.083333333333334</v>
      </c>
      <c r="F11" s="18">
        <f t="shared" si="1"/>
        <v>3.2261904761904758</v>
      </c>
      <c r="G11" s="18">
        <f t="shared" si="1"/>
        <v>4.6166666666666671</v>
      </c>
      <c r="H11" s="18">
        <f t="shared" si="1"/>
        <v>24.5</v>
      </c>
      <c r="I11" s="18">
        <f t="shared" si="1"/>
        <v>19.666666666666668</v>
      </c>
      <c r="J11" s="21"/>
      <c r="K11" s="5"/>
      <c r="L11" s="5"/>
      <c r="M11" s="5"/>
      <c r="N11" s="5"/>
      <c r="O11" s="5"/>
      <c r="P11" s="5"/>
      <c r="Q11" s="5"/>
      <c r="R11" s="5"/>
      <c r="S11" s="50"/>
    </row>
    <row r="12" spans="1:31">
      <c r="A12" s="50"/>
      <c r="B12" s="5"/>
      <c r="C12" s="134"/>
      <c r="D12" s="134"/>
      <c r="E12" s="134"/>
      <c r="F12" s="134"/>
      <c r="G12" s="134"/>
      <c r="H12" s="134"/>
      <c r="I12" s="134"/>
      <c r="J12" s="134"/>
      <c r="K12" s="134"/>
      <c r="L12" s="5"/>
      <c r="M12" s="22"/>
      <c r="S12" s="50"/>
    </row>
    <row r="13" spans="1:31" ht="14.55" customHeight="1">
      <c r="A13" s="50"/>
      <c r="B13" s="5"/>
      <c r="C13" s="135" t="s">
        <v>147</v>
      </c>
      <c r="D13" s="136"/>
      <c r="E13" s="136"/>
      <c r="F13" s="136"/>
      <c r="G13" s="136"/>
      <c r="H13" s="136"/>
      <c r="I13" s="136"/>
      <c r="J13" s="136"/>
      <c r="K13" s="136"/>
      <c r="L13" s="137"/>
      <c r="M13" s="22"/>
      <c r="S13" s="50"/>
    </row>
    <row r="14" spans="1:31" ht="15.6">
      <c r="A14" s="50"/>
      <c r="B14" s="5"/>
      <c r="C14" s="126" t="s">
        <v>148</v>
      </c>
      <c r="D14" s="127"/>
      <c r="E14" s="127"/>
      <c r="F14" s="127"/>
      <c r="G14" s="127"/>
      <c r="H14" s="127"/>
      <c r="I14" s="128"/>
      <c r="J14" s="126" t="s">
        <v>149</v>
      </c>
      <c r="K14" s="128"/>
      <c r="L14" s="35" t="s">
        <v>217</v>
      </c>
      <c r="M14" s="22"/>
      <c r="S14" s="50"/>
    </row>
    <row r="15" spans="1:31" ht="15.6">
      <c r="A15" s="50"/>
      <c r="B15" s="5"/>
      <c r="C15" s="34"/>
      <c r="D15" s="14" t="s">
        <v>135</v>
      </c>
      <c r="E15" s="14" t="s">
        <v>136</v>
      </c>
      <c r="F15" s="14" t="s">
        <v>137</v>
      </c>
      <c r="G15" s="14" t="s">
        <v>138</v>
      </c>
      <c r="H15" s="14" t="s">
        <v>139</v>
      </c>
      <c r="I15" s="14" t="s">
        <v>219</v>
      </c>
      <c r="J15" s="14" t="s">
        <v>150</v>
      </c>
      <c r="K15" s="14" t="s">
        <v>151</v>
      </c>
      <c r="L15" s="1" t="s">
        <v>218</v>
      </c>
      <c r="M15" s="22"/>
      <c r="S15" s="50"/>
    </row>
    <row r="16" spans="1:31" ht="15.6">
      <c r="A16" s="50"/>
      <c r="B16" s="5"/>
      <c r="C16" s="14" t="s">
        <v>135</v>
      </c>
      <c r="D16" s="15">
        <f t="shared" ref="D16:I16" si="2">D5/D11</f>
        <v>0.14925373134328357</v>
      </c>
      <c r="E16" s="15">
        <f t="shared" si="2"/>
        <v>0.36090225563909772</v>
      </c>
      <c r="F16" s="15">
        <f t="shared" si="2"/>
        <v>0.23247232472324725</v>
      </c>
      <c r="G16" s="15">
        <f t="shared" si="2"/>
        <v>0.21660649819494582</v>
      </c>
      <c r="H16" s="16">
        <f t="shared" si="2"/>
        <v>0.20408163265306123</v>
      </c>
      <c r="I16" s="16">
        <f t="shared" si="2"/>
        <v>0.20338983050847456</v>
      </c>
      <c r="J16" s="16">
        <f>SUM(D16:I16)/6</f>
        <v>0.22778437884368499</v>
      </c>
      <c r="K16" s="17">
        <f>J16*100</f>
        <v>22.7784378843685</v>
      </c>
      <c r="L16" s="36">
        <v>26.5</v>
      </c>
      <c r="M16" s="5"/>
      <c r="S16" s="50"/>
    </row>
    <row r="17" spans="1:19" ht="15.6">
      <c r="A17" s="50"/>
      <c r="B17" s="5"/>
      <c r="C17" s="14" t="s">
        <v>136</v>
      </c>
      <c r="D17" s="15">
        <f t="shared" ref="D17:I17" si="3">D6/D11</f>
        <v>3.7313432835820892E-2</v>
      </c>
      <c r="E17" s="15">
        <f t="shared" si="3"/>
        <v>9.0225563909774431E-2</v>
      </c>
      <c r="F17" s="15">
        <f t="shared" si="3"/>
        <v>0.20664206642066421</v>
      </c>
      <c r="G17" s="15">
        <f t="shared" si="3"/>
        <v>5.4151624548736454E-2</v>
      </c>
      <c r="H17" s="16">
        <f t="shared" si="3"/>
        <v>0.16326530612244897</v>
      </c>
      <c r="I17" s="16">
        <f t="shared" si="3"/>
        <v>0.15254237288135591</v>
      </c>
      <c r="J17" s="16">
        <f t="shared" ref="J17:J21" si="4">SUM(D17:I17)/6</f>
        <v>0.11735672778646682</v>
      </c>
      <c r="K17" s="17">
        <f t="shared" ref="K17:K21" si="5">J17*100</f>
        <v>11.735672778646682</v>
      </c>
      <c r="L17" s="36">
        <v>18.5</v>
      </c>
      <c r="M17" s="5"/>
      <c r="S17" s="50"/>
    </row>
    <row r="18" spans="1:19" ht="15.6">
      <c r="A18" s="50"/>
      <c r="B18" s="5"/>
      <c r="C18" s="14" t="s">
        <v>137</v>
      </c>
      <c r="D18" s="15">
        <f t="shared" ref="D18:I18" si="6">D7/D11</f>
        <v>0.59701492537313428</v>
      </c>
      <c r="E18" s="15">
        <f t="shared" si="6"/>
        <v>0.13533834586466165</v>
      </c>
      <c r="F18" s="15">
        <f t="shared" si="6"/>
        <v>0.30996309963099633</v>
      </c>
      <c r="G18" s="15">
        <f t="shared" si="6"/>
        <v>0.43321299638989164</v>
      </c>
      <c r="H18" s="16">
        <f t="shared" si="6"/>
        <v>0.2857142857142857</v>
      </c>
      <c r="I18" s="16">
        <f t="shared" si="6"/>
        <v>0.30508474576271183</v>
      </c>
      <c r="J18" s="16">
        <f t="shared" si="4"/>
        <v>0.34438806645594688</v>
      </c>
      <c r="K18" s="17">
        <f t="shared" si="5"/>
        <v>34.438806645594688</v>
      </c>
      <c r="L18" s="36">
        <v>20</v>
      </c>
      <c r="M18" s="5"/>
      <c r="S18" s="50"/>
    </row>
    <row r="19" spans="1:19" ht="15.6">
      <c r="A19" s="50"/>
      <c r="B19" s="5"/>
      <c r="C19" s="14" t="s">
        <v>138</v>
      </c>
      <c r="D19" s="15">
        <f t="shared" ref="D19:I19" si="7">D8/D11</f>
        <v>0.14925373134328357</v>
      </c>
      <c r="E19" s="15">
        <f t="shared" si="7"/>
        <v>0.36090225563909772</v>
      </c>
      <c r="F19" s="15">
        <f t="shared" si="7"/>
        <v>0.15498154981549817</v>
      </c>
      <c r="G19" s="15">
        <f t="shared" si="7"/>
        <v>0.21660649819494582</v>
      </c>
      <c r="H19" s="16">
        <f t="shared" si="7"/>
        <v>0.24489795918367346</v>
      </c>
      <c r="I19" s="16">
        <f t="shared" si="7"/>
        <v>0.25423728813559321</v>
      </c>
      <c r="J19" s="16">
        <f t="shared" si="4"/>
        <v>0.23014654705201532</v>
      </c>
      <c r="K19" s="17">
        <f t="shared" si="5"/>
        <v>23.014654705201533</v>
      </c>
      <c r="L19" s="36">
        <v>23</v>
      </c>
      <c r="M19" s="5"/>
      <c r="S19" s="50"/>
    </row>
    <row r="20" spans="1:19" ht="15.6">
      <c r="A20" s="50"/>
      <c r="B20" s="5"/>
      <c r="C20" s="14" t="s">
        <v>139</v>
      </c>
      <c r="D20" s="15">
        <f t="shared" ref="D20:I20" si="8">D9/D11</f>
        <v>2.9850746268656716E-2</v>
      </c>
      <c r="E20" s="15">
        <f t="shared" si="8"/>
        <v>2.2556390977443608E-2</v>
      </c>
      <c r="F20" s="15">
        <f t="shared" si="8"/>
        <v>4.4280442804428048E-2</v>
      </c>
      <c r="G20" s="15">
        <f t="shared" si="8"/>
        <v>3.6101083032490967E-2</v>
      </c>
      <c r="H20" s="16">
        <f t="shared" si="8"/>
        <v>4.0816326530612242E-2</v>
      </c>
      <c r="I20" s="16">
        <f t="shared" si="8"/>
        <v>3.3898305084745756E-2</v>
      </c>
      <c r="J20" s="16">
        <f t="shared" si="4"/>
        <v>3.4583882449729555E-2</v>
      </c>
      <c r="K20" s="17">
        <f t="shared" si="5"/>
        <v>3.4583882449729555</v>
      </c>
      <c r="L20" s="36">
        <v>6</v>
      </c>
      <c r="M20" s="5"/>
      <c r="S20" s="50"/>
    </row>
    <row r="21" spans="1:19" ht="15.6">
      <c r="A21" s="50"/>
      <c r="B21" s="5"/>
      <c r="C21" s="14" t="s">
        <v>219</v>
      </c>
      <c r="D21" s="15">
        <f t="shared" ref="D21:I21" si="9">D10/D11</f>
        <v>3.7313432835820892E-2</v>
      </c>
      <c r="E21" s="15">
        <f t="shared" si="9"/>
        <v>3.007518796992481E-2</v>
      </c>
      <c r="F21" s="15">
        <f t="shared" si="9"/>
        <v>5.1660516605166053E-2</v>
      </c>
      <c r="G21" s="15">
        <f t="shared" si="9"/>
        <v>4.3321299638989168E-2</v>
      </c>
      <c r="H21" s="16">
        <f t="shared" si="9"/>
        <v>6.1224489795918366E-2</v>
      </c>
      <c r="I21" s="16">
        <f t="shared" si="9"/>
        <v>5.084745762711864E-2</v>
      </c>
      <c r="J21" s="16">
        <f t="shared" si="4"/>
        <v>4.5740397412156318E-2</v>
      </c>
      <c r="K21" s="17">
        <f t="shared" si="5"/>
        <v>4.5740397412156319</v>
      </c>
      <c r="L21" s="36">
        <v>6</v>
      </c>
      <c r="M21" s="5"/>
      <c r="S21" s="50"/>
    </row>
    <row r="22" spans="1:19" ht="15.6">
      <c r="A22" s="50"/>
      <c r="B22" s="5"/>
      <c r="C22" s="5"/>
      <c r="D22" s="5"/>
      <c r="E22" s="5"/>
      <c r="F22" s="5"/>
      <c r="G22" s="5"/>
      <c r="H22" s="5"/>
      <c r="I22" s="5"/>
      <c r="J22" s="5"/>
      <c r="K22" s="33">
        <f>SUM(K16:K21)</f>
        <v>99.999999999999986</v>
      </c>
      <c r="L22" s="37">
        <f>SUM(L16:L21)</f>
        <v>100</v>
      </c>
      <c r="M22" s="5"/>
      <c r="S22" s="50"/>
    </row>
    <row r="23" spans="1:19">
      <c r="A23" s="50"/>
      <c r="B23" s="5"/>
      <c r="C23" s="19"/>
      <c r="D23" s="5"/>
      <c r="E23" s="5"/>
      <c r="F23" s="5"/>
      <c r="G23" s="5"/>
      <c r="H23" s="5"/>
      <c r="I23" s="5"/>
      <c r="J23" s="5"/>
      <c r="K23" s="5"/>
      <c r="L23" s="5"/>
      <c r="M23" s="5"/>
      <c r="S23" s="50"/>
    </row>
    <row r="24" spans="1:19">
      <c r="A24" s="50"/>
      <c r="B24" s="50"/>
      <c r="C24" s="50"/>
      <c r="D24" s="50"/>
      <c r="E24" s="50"/>
      <c r="F24" s="50"/>
      <c r="G24" s="50"/>
      <c r="H24" s="50"/>
      <c r="I24" s="50"/>
      <c r="J24" s="50"/>
      <c r="K24" s="50"/>
      <c r="L24" s="50"/>
      <c r="M24" s="50"/>
      <c r="N24" s="50"/>
      <c r="O24" s="50"/>
      <c r="P24" s="50"/>
      <c r="Q24" s="50"/>
      <c r="R24" s="50"/>
      <c r="S24" s="50"/>
    </row>
    <row r="25" spans="1:19">
      <c r="A25" s="50"/>
      <c r="B25" s="50"/>
      <c r="C25" s="50"/>
      <c r="D25" s="50"/>
      <c r="E25" s="50"/>
      <c r="F25" s="50"/>
      <c r="G25" s="50"/>
      <c r="H25" s="50"/>
      <c r="I25" s="50"/>
      <c r="J25" s="50"/>
      <c r="K25" s="50"/>
      <c r="L25" s="50"/>
      <c r="M25" s="50"/>
      <c r="N25" s="50"/>
      <c r="O25" s="50"/>
      <c r="P25" s="50"/>
      <c r="Q25" s="50"/>
      <c r="R25" s="50"/>
      <c r="S25" s="50"/>
    </row>
    <row r="26" spans="1:19">
      <c r="A26" s="50"/>
      <c r="B26" s="50"/>
      <c r="C26" s="50"/>
      <c r="D26" s="50"/>
      <c r="E26" s="50"/>
      <c r="F26" s="50"/>
      <c r="G26" s="50"/>
      <c r="H26" s="50"/>
      <c r="I26" s="50"/>
      <c r="J26" s="50"/>
      <c r="K26" s="50"/>
      <c r="L26" s="50"/>
      <c r="M26" s="50"/>
      <c r="N26" s="50"/>
      <c r="O26" s="50"/>
      <c r="P26" s="50"/>
      <c r="Q26" s="50"/>
      <c r="R26" s="50"/>
    </row>
  </sheetData>
  <mergeCells count="12">
    <mergeCell ref="C14:I14"/>
    <mergeCell ref="J14:K14"/>
    <mergeCell ref="K9:L9"/>
    <mergeCell ref="K3:L3"/>
    <mergeCell ref="C3:I3"/>
    <mergeCell ref="C12:K12"/>
    <mergeCell ref="K4:L4"/>
    <mergeCell ref="K5:L5"/>
    <mergeCell ref="K6:L6"/>
    <mergeCell ref="K7:L7"/>
    <mergeCell ref="K8:L8"/>
    <mergeCell ref="C13:L1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249977111117893"/>
  </sheetPr>
  <dimension ref="A1:V26"/>
  <sheetViews>
    <sheetView topLeftCell="H1" zoomScale="53" zoomScaleNormal="94" workbookViewId="0">
      <selection activeCell="N5" sqref="N5"/>
    </sheetView>
  </sheetViews>
  <sheetFormatPr baseColWidth="10" defaultRowHeight="14.4"/>
  <cols>
    <col min="2" max="2" width="27.21875" customWidth="1"/>
    <col min="3" max="3" width="19.5546875" customWidth="1"/>
    <col min="4" max="4" width="24.44140625" customWidth="1"/>
    <col min="5" max="5" width="27.21875" customWidth="1"/>
    <col min="6" max="6" width="36.21875" customWidth="1"/>
    <col min="7" max="7" width="34.21875" customWidth="1"/>
    <col min="8" max="9" width="48.77734375" customWidth="1"/>
    <col min="10" max="10" width="18.21875" customWidth="1"/>
    <col min="12" max="12" width="33" customWidth="1"/>
    <col min="13" max="13" width="19.5546875" style="97" customWidth="1"/>
    <col min="14" max="14" width="41.88671875" customWidth="1"/>
    <col min="15" max="15" width="21.5546875" customWidth="1"/>
    <col min="16" max="17" width="27.77734375" customWidth="1"/>
    <col min="18" max="18" width="27.33203125" customWidth="1"/>
  </cols>
  <sheetData>
    <row r="1" spans="1:22" ht="25.95" customHeight="1" thickBot="1">
      <c r="A1" s="50"/>
      <c r="B1" s="6" t="s">
        <v>148</v>
      </c>
      <c r="C1" s="6" t="s">
        <v>2</v>
      </c>
      <c r="D1" s="6" t="s">
        <v>256</v>
      </c>
      <c r="E1" s="6" t="s">
        <v>257</v>
      </c>
      <c r="F1" s="6" t="s">
        <v>258</v>
      </c>
      <c r="G1" s="6" t="s">
        <v>259</v>
      </c>
      <c r="H1" s="6" t="s">
        <v>260</v>
      </c>
      <c r="I1" s="54" t="s">
        <v>548</v>
      </c>
      <c r="J1" s="54" t="s">
        <v>272</v>
      </c>
      <c r="K1" s="50"/>
      <c r="L1" s="96" t="s">
        <v>590</v>
      </c>
      <c r="M1" s="95" t="s">
        <v>588</v>
      </c>
      <c r="N1" s="95" t="s">
        <v>589</v>
      </c>
    </row>
    <row r="2" spans="1:22" ht="97.5" customHeight="1" thickBot="1">
      <c r="A2" s="50"/>
      <c r="B2" s="140" t="s">
        <v>1</v>
      </c>
      <c r="C2" s="145" t="s">
        <v>38</v>
      </c>
      <c r="D2" s="4" t="s">
        <v>40</v>
      </c>
      <c r="E2" s="12" t="s">
        <v>41</v>
      </c>
      <c r="F2" s="12" t="s">
        <v>42</v>
      </c>
      <c r="G2" s="10" t="s">
        <v>179</v>
      </c>
      <c r="H2" s="68" t="s">
        <v>276</v>
      </c>
      <c r="I2" s="68" t="s">
        <v>549</v>
      </c>
      <c r="J2" s="4" t="s">
        <v>274</v>
      </c>
      <c r="K2" s="50"/>
      <c r="L2" s="103">
        <f>N2/R2</f>
        <v>0.875</v>
      </c>
      <c r="M2" s="96" t="s">
        <v>275</v>
      </c>
      <c r="N2" s="106">
        <f>COUNTIF(J2:J24,"Yes")</f>
        <v>14</v>
      </c>
      <c r="O2" s="102" t="s">
        <v>279</v>
      </c>
      <c r="P2" s="104">
        <f>COUNTA(H2:H24)</f>
        <v>17</v>
      </c>
      <c r="Q2" s="95" t="s">
        <v>591</v>
      </c>
      <c r="R2" s="105">
        <f>P2-N4</f>
        <v>16</v>
      </c>
    </row>
    <row r="3" spans="1:22" ht="81" customHeight="1">
      <c r="A3" s="50"/>
      <c r="B3" s="142"/>
      <c r="C3" s="145"/>
      <c r="D3" s="4" t="s">
        <v>43</v>
      </c>
      <c r="E3" s="12" t="s">
        <v>44</v>
      </c>
      <c r="F3" s="12" t="s">
        <v>45</v>
      </c>
      <c r="G3" s="10" t="s">
        <v>180</v>
      </c>
      <c r="H3" s="70" t="s">
        <v>271</v>
      </c>
      <c r="I3" s="70" t="s">
        <v>550</v>
      </c>
      <c r="J3" s="4" t="s">
        <v>273</v>
      </c>
      <c r="K3" s="50"/>
      <c r="L3" s="50"/>
      <c r="M3" s="109" t="s">
        <v>273</v>
      </c>
      <c r="N3" s="107">
        <f>COUNTIF(J2:J24,"No")</f>
        <v>2</v>
      </c>
      <c r="O3" s="57"/>
      <c r="P3" s="57"/>
    </row>
    <row r="4" spans="1:22" ht="79.95" customHeight="1" thickBot="1">
      <c r="A4" s="50"/>
      <c r="B4" s="142"/>
      <c r="C4" s="4" t="s">
        <v>55</v>
      </c>
      <c r="D4" s="4" t="s">
        <v>59</v>
      </c>
      <c r="E4" s="26" t="s">
        <v>60</v>
      </c>
      <c r="F4" s="12" t="s">
        <v>61</v>
      </c>
      <c r="G4" s="10" t="s">
        <v>184</v>
      </c>
      <c r="H4" s="70" t="s">
        <v>277</v>
      </c>
      <c r="I4" s="70" t="s">
        <v>551</v>
      </c>
      <c r="J4" s="4" t="s">
        <v>275</v>
      </c>
      <c r="K4" s="50"/>
      <c r="L4" s="50"/>
      <c r="M4" s="110" t="s">
        <v>274</v>
      </c>
      <c r="N4" s="108">
        <f>COUNTIF(J2:J24,"N/A")</f>
        <v>1</v>
      </c>
      <c r="V4" s="79"/>
    </row>
    <row r="5" spans="1:22" ht="87" thickBot="1">
      <c r="A5" s="50"/>
      <c r="B5" s="142"/>
      <c r="C5" s="3" t="s">
        <v>283</v>
      </c>
      <c r="D5" s="4" t="s">
        <v>284</v>
      </c>
      <c r="E5" s="42" t="s">
        <v>450</v>
      </c>
      <c r="F5" s="42" t="s">
        <v>451</v>
      </c>
      <c r="G5" s="42" t="s">
        <v>452</v>
      </c>
      <c r="H5" s="2" t="s">
        <v>285</v>
      </c>
      <c r="I5" s="2" t="s">
        <v>552</v>
      </c>
      <c r="J5" s="4" t="s">
        <v>275</v>
      </c>
      <c r="K5" s="50"/>
      <c r="L5" s="50"/>
      <c r="M5" s="92" t="s">
        <v>612</v>
      </c>
      <c r="N5" s="193" t="s">
        <v>613</v>
      </c>
    </row>
    <row r="6" spans="1:22" ht="91.05" customHeight="1">
      <c r="A6" s="50"/>
      <c r="B6" s="142"/>
      <c r="C6" s="146" t="s">
        <v>293</v>
      </c>
      <c r="D6" s="4" t="s">
        <v>286</v>
      </c>
      <c r="E6" s="24" t="s">
        <v>453</v>
      </c>
      <c r="F6" s="24" t="s">
        <v>454</v>
      </c>
      <c r="G6" s="24" t="s">
        <v>455</v>
      </c>
      <c r="H6" s="42" t="s">
        <v>554</v>
      </c>
      <c r="I6" s="42" t="s">
        <v>553</v>
      </c>
      <c r="J6" s="4" t="s">
        <v>275</v>
      </c>
      <c r="K6" s="50"/>
      <c r="L6" s="50"/>
    </row>
    <row r="7" spans="1:22" ht="43.5" customHeight="1">
      <c r="A7" s="50"/>
      <c r="B7" s="142"/>
      <c r="C7" s="147"/>
      <c r="D7" s="140" t="s">
        <v>287</v>
      </c>
      <c r="E7" s="143" t="s">
        <v>456</v>
      </c>
      <c r="F7" s="143" t="s">
        <v>457</v>
      </c>
      <c r="G7" s="143" t="s">
        <v>458</v>
      </c>
      <c r="H7" s="143" t="s">
        <v>302</v>
      </c>
      <c r="I7" s="82" t="s">
        <v>555</v>
      </c>
      <c r="J7" s="140" t="s">
        <v>273</v>
      </c>
      <c r="K7" s="50"/>
      <c r="L7" s="50"/>
    </row>
    <row r="8" spans="1:22" ht="43.5" customHeight="1">
      <c r="A8" s="50"/>
      <c r="B8" s="142"/>
      <c r="C8" s="147"/>
      <c r="D8" s="142"/>
      <c r="E8" s="144"/>
      <c r="F8" s="144"/>
      <c r="G8" s="144"/>
      <c r="H8" s="144"/>
      <c r="I8" s="83"/>
      <c r="J8" s="141"/>
      <c r="K8" s="50"/>
      <c r="L8" s="50"/>
    </row>
    <row r="9" spans="1:22" ht="49.95" customHeight="1">
      <c r="A9" s="50"/>
      <c r="B9" s="142"/>
      <c r="C9" s="147"/>
      <c r="D9" s="141"/>
      <c r="E9" s="24" t="s">
        <v>459</v>
      </c>
      <c r="F9" s="24" t="s">
        <v>460</v>
      </c>
      <c r="G9" s="24" t="s">
        <v>461</v>
      </c>
      <c r="H9" s="42" t="s">
        <v>294</v>
      </c>
      <c r="I9" s="42" t="s">
        <v>556</v>
      </c>
      <c r="J9" s="4" t="s">
        <v>275</v>
      </c>
      <c r="K9" s="50"/>
      <c r="L9" s="50"/>
    </row>
    <row r="10" spans="1:22" ht="43.5" customHeight="1">
      <c r="A10" s="50"/>
      <c r="B10" s="142"/>
      <c r="C10" s="147"/>
      <c r="D10" s="140" t="s">
        <v>288</v>
      </c>
      <c r="E10" s="24" t="s">
        <v>462</v>
      </c>
      <c r="F10" s="24" t="s">
        <v>463</v>
      </c>
      <c r="G10" s="24" t="s">
        <v>464</v>
      </c>
      <c r="H10" s="2" t="s">
        <v>296</v>
      </c>
      <c r="I10" s="2" t="s">
        <v>557</v>
      </c>
      <c r="J10" s="4" t="s">
        <v>275</v>
      </c>
      <c r="K10" s="50"/>
      <c r="L10" s="50"/>
    </row>
    <row r="11" spans="1:22" ht="43.5" customHeight="1">
      <c r="A11" s="50"/>
      <c r="B11" s="142"/>
      <c r="C11" s="147"/>
      <c r="D11" s="142"/>
      <c r="E11" s="143" t="s">
        <v>465</v>
      </c>
      <c r="F11" s="143" t="s">
        <v>466</v>
      </c>
      <c r="G11" s="143" t="s">
        <v>467</v>
      </c>
      <c r="H11" s="143" t="s">
        <v>295</v>
      </c>
      <c r="I11" s="82" t="s">
        <v>558</v>
      </c>
      <c r="J11" s="140" t="s">
        <v>275</v>
      </c>
      <c r="K11" s="50"/>
      <c r="L11" s="50"/>
    </row>
    <row r="12" spans="1:22" ht="43.5" customHeight="1">
      <c r="A12" s="50"/>
      <c r="B12" s="142"/>
      <c r="C12" s="147"/>
      <c r="D12" s="141"/>
      <c r="E12" s="144"/>
      <c r="F12" s="144"/>
      <c r="G12" s="144"/>
      <c r="H12" s="144"/>
      <c r="I12" s="83"/>
      <c r="J12" s="141"/>
      <c r="K12" s="50"/>
      <c r="L12" s="50"/>
    </row>
    <row r="13" spans="1:22" ht="43.2">
      <c r="A13" s="50"/>
      <c r="B13" s="142"/>
      <c r="C13" s="147"/>
      <c r="D13" s="140" t="s">
        <v>289</v>
      </c>
      <c r="E13" s="42" t="s">
        <v>468</v>
      </c>
      <c r="F13" s="2" t="s">
        <v>471</v>
      </c>
      <c r="G13" s="69" t="s">
        <v>476</v>
      </c>
      <c r="H13" s="42" t="s">
        <v>297</v>
      </c>
      <c r="I13" s="42" t="s">
        <v>559</v>
      </c>
      <c r="J13" s="4" t="s">
        <v>275</v>
      </c>
      <c r="K13" s="50"/>
      <c r="L13" s="50"/>
    </row>
    <row r="14" spans="1:22" ht="53.55" customHeight="1">
      <c r="A14" s="50"/>
      <c r="B14" s="142"/>
      <c r="C14" s="147"/>
      <c r="D14" s="142"/>
      <c r="E14" s="42" t="s">
        <v>469</v>
      </c>
      <c r="F14" s="2" t="s">
        <v>472</v>
      </c>
      <c r="G14" s="49" t="s">
        <v>474</v>
      </c>
      <c r="H14" s="42" t="s">
        <v>303</v>
      </c>
      <c r="I14" s="42" t="s">
        <v>560</v>
      </c>
      <c r="J14" s="4" t="s">
        <v>275</v>
      </c>
      <c r="K14" s="50"/>
      <c r="L14" s="50"/>
    </row>
    <row r="15" spans="1:22" ht="51" customHeight="1">
      <c r="A15" s="50"/>
      <c r="B15" s="142"/>
      <c r="C15" s="147"/>
      <c r="D15" s="141"/>
      <c r="E15" s="42" t="s">
        <v>470</v>
      </c>
      <c r="F15" s="2" t="s">
        <v>473</v>
      </c>
      <c r="G15" s="49" t="s">
        <v>475</v>
      </c>
      <c r="H15" s="2" t="s">
        <v>304</v>
      </c>
      <c r="I15" s="2" t="s">
        <v>561</v>
      </c>
      <c r="J15" s="4" t="s">
        <v>275</v>
      </c>
      <c r="K15" s="50"/>
      <c r="L15" s="50"/>
    </row>
    <row r="16" spans="1:22" ht="47.55" customHeight="1">
      <c r="A16" s="50"/>
      <c r="B16" s="142"/>
      <c r="C16" s="147"/>
      <c r="D16" s="140" t="s">
        <v>290</v>
      </c>
      <c r="E16" s="143" t="s">
        <v>477</v>
      </c>
      <c r="F16" s="143" t="s">
        <v>478</v>
      </c>
      <c r="G16" s="143" t="s">
        <v>479</v>
      </c>
      <c r="H16" s="143" t="s">
        <v>301</v>
      </c>
      <c r="I16" s="82" t="s">
        <v>562</v>
      </c>
      <c r="J16" s="140" t="s">
        <v>275</v>
      </c>
      <c r="K16" s="50"/>
      <c r="L16" s="50"/>
    </row>
    <row r="17" spans="1:12" ht="22.05" hidden="1" customHeight="1">
      <c r="A17" s="50"/>
      <c r="B17" s="142"/>
      <c r="C17" s="147"/>
      <c r="D17" s="142"/>
      <c r="E17" s="150"/>
      <c r="F17" s="150"/>
      <c r="G17" s="150"/>
      <c r="H17" s="150"/>
      <c r="I17" s="84"/>
      <c r="J17" s="142"/>
      <c r="K17" s="50"/>
      <c r="L17" s="50"/>
    </row>
    <row r="18" spans="1:12">
      <c r="A18" s="50"/>
      <c r="B18" s="142"/>
      <c r="C18" s="147"/>
      <c r="D18" s="141"/>
      <c r="E18" s="144"/>
      <c r="F18" s="144"/>
      <c r="G18" s="144"/>
      <c r="H18" s="144"/>
      <c r="I18" s="83"/>
      <c r="J18" s="141"/>
      <c r="K18" s="50"/>
      <c r="L18" s="50"/>
    </row>
    <row r="19" spans="1:12" ht="61.95" customHeight="1">
      <c r="A19" s="50"/>
      <c r="B19" s="142"/>
      <c r="C19" s="147"/>
      <c r="D19" s="140" t="s">
        <v>291</v>
      </c>
      <c r="E19" s="24" t="s">
        <v>480</v>
      </c>
      <c r="F19" s="24" t="s">
        <v>484</v>
      </c>
      <c r="G19" s="2" t="s">
        <v>488</v>
      </c>
      <c r="H19" s="24" t="s">
        <v>298</v>
      </c>
      <c r="I19" s="24" t="s">
        <v>563</v>
      </c>
      <c r="J19" s="4" t="s">
        <v>275</v>
      </c>
      <c r="K19" s="50"/>
      <c r="L19" s="50"/>
    </row>
    <row r="20" spans="1:12">
      <c r="A20" s="50"/>
      <c r="B20" s="142"/>
      <c r="C20" s="147"/>
      <c r="D20" s="142"/>
      <c r="E20" s="143" t="s">
        <v>481</v>
      </c>
      <c r="F20" s="143" t="s">
        <v>485</v>
      </c>
      <c r="G20" s="138" t="s">
        <v>489</v>
      </c>
      <c r="H20" s="143" t="s">
        <v>300</v>
      </c>
      <c r="I20" s="82"/>
      <c r="J20" s="140" t="s">
        <v>275</v>
      </c>
      <c r="K20" s="50"/>
      <c r="L20" s="50"/>
    </row>
    <row r="21" spans="1:12" ht="28.95" customHeight="1">
      <c r="A21" s="50"/>
      <c r="B21" s="142"/>
      <c r="C21" s="147"/>
      <c r="D21" s="142"/>
      <c r="E21" s="144"/>
      <c r="F21" s="144"/>
      <c r="G21" s="139"/>
      <c r="H21" s="144"/>
      <c r="I21" s="83" t="s">
        <v>564</v>
      </c>
      <c r="J21" s="141"/>
      <c r="K21" s="50"/>
      <c r="L21" s="50"/>
    </row>
    <row r="22" spans="1:12" ht="39.450000000000003" customHeight="1">
      <c r="A22" s="50"/>
      <c r="B22" s="142"/>
      <c r="C22" s="147"/>
      <c r="D22" s="142"/>
      <c r="E22" s="24" t="s">
        <v>482</v>
      </c>
      <c r="F22" s="24" t="s">
        <v>486</v>
      </c>
      <c r="G22" s="24" t="s">
        <v>490</v>
      </c>
      <c r="H22" s="65" t="s">
        <v>336</v>
      </c>
      <c r="I22" s="65" t="s">
        <v>565</v>
      </c>
      <c r="J22" s="61" t="s">
        <v>275</v>
      </c>
      <c r="K22" s="50"/>
      <c r="L22" s="50"/>
    </row>
    <row r="23" spans="1:12" ht="42" customHeight="1">
      <c r="A23" s="50"/>
      <c r="B23" s="142"/>
      <c r="C23" s="147"/>
      <c r="D23" s="145" t="s">
        <v>292</v>
      </c>
      <c r="E23" s="143" t="s">
        <v>483</v>
      </c>
      <c r="F23" s="149" t="s">
        <v>487</v>
      </c>
      <c r="G23" s="143" t="s">
        <v>491</v>
      </c>
      <c r="H23" s="143" t="s">
        <v>299</v>
      </c>
      <c r="I23" s="82" t="s">
        <v>566</v>
      </c>
      <c r="J23" s="140" t="s">
        <v>275</v>
      </c>
      <c r="K23" s="50"/>
      <c r="L23" s="50"/>
    </row>
    <row r="24" spans="1:12" ht="28.95" customHeight="1">
      <c r="A24" s="50"/>
      <c r="B24" s="141"/>
      <c r="C24" s="148"/>
      <c r="D24" s="145"/>
      <c r="E24" s="144"/>
      <c r="F24" s="149"/>
      <c r="G24" s="144"/>
      <c r="H24" s="144"/>
      <c r="I24" s="83"/>
      <c r="J24" s="141"/>
      <c r="K24" s="50"/>
      <c r="L24" s="50"/>
    </row>
    <row r="25" spans="1:12">
      <c r="A25" s="50"/>
      <c r="B25" s="50"/>
      <c r="C25" s="50"/>
      <c r="D25" s="50"/>
      <c r="E25" s="50"/>
      <c r="F25" s="50"/>
      <c r="G25" s="50"/>
      <c r="H25" s="50"/>
      <c r="I25" s="50"/>
      <c r="J25" s="50"/>
      <c r="K25" s="50"/>
      <c r="L25" s="50"/>
    </row>
    <row r="26" spans="1:12">
      <c r="A26" s="50"/>
      <c r="B26" s="50"/>
      <c r="C26" s="50"/>
      <c r="D26" s="50"/>
      <c r="E26" s="50"/>
      <c r="F26" s="50"/>
      <c r="G26" s="50"/>
      <c r="H26" s="50"/>
      <c r="I26" s="50"/>
      <c r="J26" s="50"/>
      <c r="K26" s="50"/>
      <c r="L26" s="50"/>
    </row>
  </sheetData>
  <mergeCells count="34">
    <mergeCell ref="D10:D12"/>
    <mergeCell ref="D13:D15"/>
    <mergeCell ref="G11:G12"/>
    <mergeCell ref="F11:F12"/>
    <mergeCell ref="E11:E12"/>
    <mergeCell ref="D7:D9"/>
    <mergeCell ref="G7:G8"/>
    <mergeCell ref="F7:F8"/>
    <mergeCell ref="E7:E8"/>
    <mergeCell ref="C2:C3"/>
    <mergeCell ref="D19:D22"/>
    <mergeCell ref="D23:D24"/>
    <mergeCell ref="C6:C24"/>
    <mergeCell ref="B2:B24"/>
    <mergeCell ref="H23:H24"/>
    <mergeCell ref="H20:H21"/>
    <mergeCell ref="G23:G24"/>
    <mergeCell ref="F23:F24"/>
    <mergeCell ref="E23:E24"/>
    <mergeCell ref="D16:D18"/>
    <mergeCell ref="G16:G18"/>
    <mergeCell ref="F16:F18"/>
    <mergeCell ref="E16:E18"/>
    <mergeCell ref="H16:H18"/>
    <mergeCell ref="E20:E21"/>
    <mergeCell ref="F20:F21"/>
    <mergeCell ref="G20:G21"/>
    <mergeCell ref="J20:J21"/>
    <mergeCell ref="J23:J24"/>
    <mergeCell ref="J16:J18"/>
    <mergeCell ref="H7:H8"/>
    <mergeCell ref="J7:J8"/>
    <mergeCell ref="H11:H12"/>
    <mergeCell ref="J11:J12"/>
  </mergeCells>
  <conditionalFormatting sqref="B1:E1">
    <cfRule type="expression" dxfId="48" priority="9">
      <formula>$A1="header"</formula>
    </cfRule>
  </conditionalFormatting>
  <conditionalFormatting sqref="B1:J1">
    <cfRule type="expression" dxfId="47" priority="5">
      <formula>$A1="header"</formula>
    </cfRule>
    <cfRule type="expression" dxfId="46" priority="6">
      <formula>$A1="blank"</formula>
    </cfRule>
  </conditionalFormatting>
  <conditionalFormatting sqref="J2:J7 J9:J11 J13:J16 J19:J20 J22:J23">
    <cfRule type="cellIs" dxfId="45" priority="1" operator="equal">
      <formula>"N/A"</formula>
    </cfRule>
    <cfRule type="cellIs" dxfId="44" priority="2" operator="equal">
      <formula>"N/A"</formula>
    </cfRule>
    <cfRule type="cellIs" dxfId="43" priority="3" operator="equal">
      <formula>"No"</formula>
    </cfRule>
    <cfRule type="cellIs" dxfId="42" priority="4" operator="equal">
      <formula>"Yes"</formula>
    </cfRule>
  </conditionalFormatting>
  <dataValidations count="2">
    <dataValidation type="list" allowBlank="1" showInputMessage="1" showErrorMessage="1" sqref="J22:J23 J19:J20 J2:J7 J9:J11 J13:J16">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S13"/>
  <sheetViews>
    <sheetView topLeftCell="E1" zoomScale="42" zoomScaleNormal="88" workbookViewId="0">
      <selection activeCell="M7" sqref="M7"/>
    </sheetView>
  </sheetViews>
  <sheetFormatPr baseColWidth="10" defaultRowHeight="14.4"/>
  <cols>
    <col min="2" max="2" width="24.21875" customWidth="1"/>
    <col min="3" max="3" width="19.21875" customWidth="1"/>
    <col min="4" max="4" width="26" customWidth="1"/>
    <col min="5" max="5" width="32.21875" customWidth="1"/>
    <col min="6" max="6" width="33.88671875" customWidth="1"/>
    <col min="7" max="7" width="52.21875" customWidth="1"/>
    <col min="8" max="8" width="68.21875" customWidth="1"/>
    <col min="9" max="9" width="34.21875" customWidth="1"/>
    <col min="12" max="12" width="33.5546875" customWidth="1"/>
    <col min="13" max="13" width="39.33203125" customWidth="1"/>
    <col min="14" max="14" width="16.77734375" customWidth="1"/>
    <col min="15" max="15" width="17.44140625" customWidth="1"/>
    <col min="16" max="16" width="19" customWidth="1"/>
    <col min="17" max="17" width="20.88671875" customWidth="1"/>
    <col min="18" max="18" width="38.5546875" customWidth="1"/>
  </cols>
  <sheetData>
    <row r="1" spans="1:19" ht="25.05" customHeight="1" thickBot="1">
      <c r="A1" s="59"/>
      <c r="B1" s="59"/>
      <c r="C1" s="59"/>
      <c r="D1" s="59"/>
      <c r="E1" s="59"/>
      <c r="F1" s="59"/>
      <c r="G1" s="59"/>
      <c r="H1" s="59"/>
      <c r="I1" s="59"/>
      <c r="J1" s="59"/>
      <c r="K1" s="59"/>
      <c r="L1" s="59"/>
      <c r="M1" s="59"/>
      <c r="N1" s="59"/>
      <c r="O1" s="59"/>
      <c r="P1" s="59"/>
      <c r="Q1" s="59"/>
      <c r="R1" s="59"/>
      <c r="S1" s="59"/>
    </row>
    <row r="2" spans="1:19" ht="21.45" customHeight="1" thickBot="1">
      <c r="A2" s="164"/>
      <c r="B2" s="165"/>
      <c r="C2" s="165"/>
      <c r="D2" s="165"/>
      <c r="E2" s="165"/>
      <c r="F2" s="165"/>
      <c r="G2" s="165"/>
      <c r="H2" s="165"/>
      <c r="I2" s="53"/>
      <c r="J2" s="164"/>
      <c r="K2" s="164"/>
      <c r="L2" s="167" t="s">
        <v>279</v>
      </c>
      <c r="M2" s="168"/>
      <c r="N2" s="58" t="s">
        <v>275</v>
      </c>
      <c r="O2" s="58" t="s">
        <v>273</v>
      </c>
      <c r="P2" s="58" t="s">
        <v>274</v>
      </c>
      <c r="Q2" s="58" t="s">
        <v>601</v>
      </c>
      <c r="R2" s="58" t="s">
        <v>521</v>
      </c>
      <c r="S2" s="59"/>
    </row>
    <row r="3" spans="1:19" ht="28.05" customHeight="1">
      <c r="A3" s="164"/>
      <c r="B3" s="43" t="s">
        <v>148</v>
      </c>
      <c r="C3" s="43" t="s">
        <v>2</v>
      </c>
      <c r="D3" s="43" t="s">
        <v>256</v>
      </c>
      <c r="E3" s="43" t="s">
        <v>257</v>
      </c>
      <c r="F3" s="43" t="s">
        <v>258</v>
      </c>
      <c r="G3" s="43" t="s">
        <v>259</v>
      </c>
      <c r="H3" s="116" t="s">
        <v>260</v>
      </c>
      <c r="I3" s="56" t="s">
        <v>272</v>
      </c>
      <c r="J3" s="164"/>
      <c r="K3" s="164"/>
      <c r="L3" s="158">
        <f>COUNTA(I4:I13)</f>
        <v>4</v>
      </c>
      <c r="M3" s="169"/>
      <c r="N3" s="172">
        <f>COUNTIF(I4:I12,"Yes")</f>
        <v>2</v>
      </c>
      <c r="O3" s="151">
        <f>COUNTIF(I4:I12,"No")</f>
        <v>1</v>
      </c>
      <c r="P3" s="154">
        <f>COUNTIF(I4:I12,"N/A")</f>
        <v>1</v>
      </c>
      <c r="Q3" s="158">
        <f>L3-P3</f>
        <v>3</v>
      </c>
      <c r="R3" s="161">
        <f>N3/Q3</f>
        <v>0.66666666666666663</v>
      </c>
      <c r="S3" s="59"/>
    </row>
    <row r="4" spans="1:19" ht="73.95" customHeight="1">
      <c r="A4" s="164"/>
      <c r="B4" s="140" t="s">
        <v>101</v>
      </c>
      <c r="C4" s="140" t="s">
        <v>0</v>
      </c>
      <c r="D4" s="149" t="s">
        <v>228</v>
      </c>
      <c r="E4" s="149" t="s">
        <v>230</v>
      </c>
      <c r="F4" s="143" t="s">
        <v>249</v>
      </c>
      <c r="G4" s="24" t="s">
        <v>229</v>
      </c>
      <c r="H4" s="157" t="s">
        <v>262</v>
      </c>
      <c r="I4" s="145" t="s">
        <v>275</v>
      </c>
      <c r="J4" s="164"/>
      <c r="K4" s="164"/>
      <c r="L4" s="159"/>
      <c r="M4" s="170"/>
      <c r="N4" s="173"/>
      <c r="O4" s="152"/>
      <c r="P4" s="155"/>
      <c r="Q4" s="159"/>
      <c r="R4" s="162"/>
      <c r="S4" s="59"/>
    </row>
    <row r="5" spans="1:19" ht="78" customHeight="1" thickBot="1">
      <c r="A5" s="164"/>
      <c r="B5" s="142"/>
      <c r="C5" s="142"/>
      <c r="D5" s="149"/>
      <c r="E5" s="149"/>
      <c r="F5" s="150"/>
      <c r="G5" s="24" t="s">
        <v>231</v>
      </c>
      <c r="H5" s="157"/>
      <c r="I5" s="145"/>
      <c r="J5" s="164"/>
      <c r="K5" s="164"/>
      <c r="L5" s="160"/>
      <c r="M5" s="171"/>
      <c r="N5" s="174"/>
      <c r="O5" s="153"/>
      <c r="P5" s="156"/>
      <c r="Q5" s="160"/>
      <c r="R5" s="163"/>
      <c r="S5" s="59"/>
    </row>
    <row r="6" spans="1:19" ht="72.599999999999994" thickBot="1">
      <c r="A6" s="164"/>
      <c r="B6" s="142"/>
      <c r="C6" s="142"/>
      <c r="D6" s="149"/>
      <c r="E6" s="149"/>
      <c r="F6" s="144"/>
      <c r="G6" s="24" t="s">
        <v>232</v>
      </c>
      <c r="H6" s="157"/>
      <c r="I6" s="145"/>
      <c r="J6" s="164"/>
      <c r="K6" s="164"/>
      <c r="L6" s="59"/>
      <c r="M6" s="59"/>
      <c r="N6" s="59"/>
      <c r="O6" s="59"/>
      <c r="P6" s="59"/>
      <c r="Q6" s="59"/>
      <c r="R6" s="59"/>
      <c r="S6" s="59"/>
    </row>
    <row r="7" spans="1:19" ht="109.05" customHeight="1" thickBot="1">
      <c r="A7" s="164"/>
      <c r="B7" s="142"/>
      <c r="C7" s="142"/>
      <c r="D7" s="24" t="s">
        <v>234</v>
      </c>
      <c r="E7" s="24" t="s">
        <v>233</v>
      </c>
      <c r="F7" s="24" t="s">
        <v>250</v>
      </c>
      <c r="G7" s="24" t="s">
        <v>236</v>
      </c>
      <c r="H7" s="157" t="s">
        <v>263</v>
      </c>
      <c r="I7" s="145" t="s">
        <v>274</v>
      </c>
      <c r="J7" s="164"/>
      <c r="K7" s="164"/>
      <c r="L7" s="92" t="s">
        <v>612</v>
      </c>
      <c r="M7" s="193" t="s">
        <v>613</v>
      </c>
      <c r="N7" s="114"/>
    </row>
    <row r="8" spans="1:19" ht="102" customHeight="1">
      <c r="A8" s="164"/>
      <c r="B8" s="142"/>
      <c r="C8" s="142"/>
      <c r="D8" s="24" t="s">
        <v>235</v>
      </c>
      <c r="E8" s="24" t="s">
        <v>237</v>
      </c>
      <c r="F8" s="24" t="s">
        <v>251</v>
      </c>
      <c r="G8" s="24" t="s">
        <v>238</v>
      </c>
      <c r="H8" s="157"/>
      <c r="I8" s="145"/>
      <c r="J8" s="164"/>
      <c r="K8" s="164"/>
      <c r="N8" s="115"/>
    </row>
    <row r="9" spans="1:19" ht="252" customHeight="1">
      <c r="A9" s="164"/>
      <c r="B9" s="142"/>
      <c r="C9" s="142"/>
      <c r="D9" s="24" t="s">
        <v>244</v>
      </c>
      <c r="E9" s="24" t="s">
        <v>245</v>
      </c>
      <c r="F9" s="24" t="s">
        <v>254</v>
      </c>
      <c r="G9" s="24" t="s">
        <v>246</v>
      </c>
      <c r="H9" s="157" t="s">
        <v>265</v>
      </c>
      <c r="I9" s="145" t="s">
        <v>273</v>
      </c>
      <c r="J9" s="164"/>
      <c r="K9" s="164"/>
    </row>
    <row r="10" spans="1:19" ht="139.05000000000001" customHeight="1">
      <c r="A10" s="164"/>
      <c r="B10" s="142"/>
      <c r="C10" s="142"/>
      <c r="D10" s="24" t="s">
        <v>248</v>
      </c>
      <c r="E10" s="24" t="s">
        <v>242</v>
      </c>
      <c r="F10" s="24" t="s">
        <v>253</v>
      </c>
      <c r="G10" s="24" t="s">
        <v>243</v>
      </c>
      <c r="H10" s="157"/>
      <c r="I10" s="145"/>
      <c r="J10" s="164"/>
      <c r="K10" s="164"/>
    </row>
    <row r="11" spans="1:19" ht="64.95" customHeight="1">
      <c r="A11" s="164"/>
      <c r="B11" s="141"/>
      <c r="C11" s="141"/>
      <c r="D11" s="24" t="s">
        <v>239</v>
      </c>
      <c r="E11" s="24" t="s">
        <v>240</v>
      </c>
      <c r="F11" s="24" t="s">
        <v>252</v>
      </c>
      <c r="G11" s="24" t="s">
        <v>241</v>
      </c>
      <c r="H11" s="44" t="s">
        <v>264</v>
      </c>
      <c r="I11" s="4" t="s">
        <v>275</v>
      </c>
      <c r="J11" s="164"/>
      <c r="K11" s="164"/>
    </row>
    <row r="12" spans="1:19">
      <c r="A12" s="164"/>
      <c r="B12" s="166"/>
      <c r="C12" s="166"/>
      <c r="D12" s="166"/>
      <c r="E12" s="166"/>
      <c r="F12" s="166"/>
      <c r="G12" s="166"/>
      <c r="H12" s="166"/>
      <c r="I12" s="53"/>
      <c r="J12" s="164"/>
      <c r="K12" s="164"/>
    </row>
    <row r="13" spans="1:19">
      <c r="A13" s="164"/>
      <c r="B13" s="164"/>
      <c r="C13" s="164"/>
      <c r="D13" s="164"/>
      <c r="E13" s="164"/>
      <c r="F13" s="164"/>
      <c r="G13" s="164"/>
      <c r="H13" s="164"/>
      <c r="I13" s="53"/>
      <c r="J13" s="164"/>
      <c r="K13" s="164"/>
    </row>
  </sheetData>
  <mergeCells count="22">
    <mergeCell ref="Q3:Q5"/>
    <mergeCell ref="R3:R5"/>
    <mergeCell ref="B4:B11"/>
    <mergeCell ref="A2:A13"/>
    <mergeCell ref="B2:H2"/>
    <mergeCell ref="B12:H13"/>
    <mergeCell ref="D4:D6"/>
    <mergeCell ref="E4:E6"/>
    <mergeCell ref="H9:H10"/>
    <mergeCell ref="L2:M2"/>
    <mergeCell ref="L3:M5"/>
    <mergeCell ref="N3:N5"/>
    <mergeCell ref="C4:C11"/>
    <mergeCell ref="J2:K13"/>
    <mergeCell ref="I4:I6"/>
    <mergeCell ref="I7:I8"/>
    <mergeCell ref="I9:I10"/>
    <mergeCell ref="O3:O5"/>
    <mergeCell ref="P3:P5"/>
    <mergeCell ref="F4:F6"/>
    <mergeCell ref="H4:H6"/>
    <mergeCell ref="H7:H8"/>
  </mergeCells>
  <conditionalFormatting sqref="H3:I3">
    <cfRule type="expression" dxfId="41" priority="5">
      <formula>$A3="header"</formula>
    </cfRule>
    <cfRule type="expression" dxfId="40" priority="6">
      <formula>$A3="blank"</formula>
    </cfRule>
  </conditionalFormatting>
  <conditionalFormatting sqref="I4 I7 I9 I11">
    <cfRule type="cellIs" dxfId="39" priority="1" operator="equal">
      <formula>"N/A"</formula>
    </cfRule>
    <cfRule type="cellIs" dxfId="38" priority="2" operator="equal">
      <formula>"N/A"</formula>
    </cfRule>
    <cfRule type="cellIs" dxfId="37" priority="3" operator="equal">
      <formula>"No"</formula>
    </cfRule>
    <cfRule type="cellIs" dxfId="36" priority="4" operator="equal">
      <formula>"Yes"</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theme="9" tint="-0.249977111117893"/>
  </sheetPr>
  <dimension ref="A1:AF38"/>
  <sheetViews>
    <sheetView topLeftCell="J1" zoomScale="64" workbookViewId="0">
      <selection activeCell="T3" sqref="T3"/>
    </sheetView>
  </sheetViews>
  <sheetFormatPr baseColWidth="10" defaultRowHeight="14.4"/>
  <cols>
    <col min="1" max="1" width="20.5546875" customWidth="1"/>
    <col min="2" max="2" width="16.21875" customWidth="1"/>
    <col min="3" max="3" width="21.5546875" customWidth="1"/>
    <col min="4" max="4" width="25.44140625" customWidth="1"/>
    <col min="5" max="5" width="24.109375" customWidth="1"/>
    <col min="6" max="6" width="24.21875" customWidth="1"/>
    <col min="7" max="8" width="24.44140625" customWidth="1"/>
    <col min="9" max="9" width="9.21875" customWidth="1"/>
    <col min="12" max="12" width="37.6640625" customWidth="1"/>
    <col min="13" max="13" width="24" customWidth="1"/>
    <col min="14" max="14" width="10.88671875" hidden="1" customWidth="1"/>
    <col min="15" max="15" width="25.33203125" style="91" customWidth="1"/>
    <col min="16" max="16" width="24.21875" style="91" customWidth="1"/>
    <col min="17" max="17" width="26.5546875" style="91" customWidth="1"/>
    <col min="18" max="18" width="30.44140625" customWidth="1"/>
    <col min="19" max="19" width="26.21875" customWidth="1"/>
    <col min="20" max="20" width="45.77734375" customWidth="1"/>
    <col min="21" max="21" width="36.33203125" customWidth="1"/>
  </cols>
  <sheetData>
    <row r="1" spans="1:32" ht="24" thickBot="1">
      <c r="A1" s="6" t="s">
        <v>148</v>
      </c>
      <c r="B1" s="6" t="s">
        <v>2</v>
      </c>
      <c r="C1" s="6" t="s">
        <v>256</v>
      </c>
      <c r="D1" s="6" t="s">
        <v>257</v>
      </c>
      <c r="E1" s="6" t="s">
        <v>258</v>
      </c>
      <c r="F1" s="13" t="s">
        <v>259</v>
      </c>
      <c r="G1" s="6" t="s">
        <v>260</v>
      </c>
      <c r="H1" s="78"/>
      <c r="I1" s="55" t="s">
        <v>272</v>
      </c>
      <c r="J1" s="50"/>
      <c r="L1" s="96" t="s">
        <v>590</v>
      </c>
      <c r="M1" s="175" t="s">
        <v>588</v>
      </c>
      <c r="N1" s="176"/>
      <c r="O1" s="95" t="s">
        <v>589</v>
      </c>
    </row>
    <row r="2" spans="1:32" ht="128.4" thickBot="1">
      <c r="A2" s="145" t="s">
        <v>64</v>
      </c>
      <c r="B2" s="149" t="s">
        <v>65</v>
      </c>
      <c r="C2" s="24" t="s">
        <v>66</v>
      </c>
      <c r="D2" s="27" t="s">
        <v>67</v>
      </c>
      <c r="E2" s="27" t="s">
        <v>68</v>
      </c>
      <c r="F2" s="28" t="s">
        <v>186</v>
      </c>
      <c r="G2" s="24" t="s">
        <v>520</v>
      </c>
      <c r="H2" s="24"/>
      <c r="I2" s="4" t="s">
        <v>273</v>
      </c>
      <c r="J2" s="50"/>
      <c r="K2" s="91"/>
      <c r="L2" s="98">
        <f>O2/S2</f>
        <v>0.625</v>
      </c>
      <c r="M2" s="96" t="s">
        <v>275</v>
      </c>
      <c r="N2" s="97"/>
      <c r="O2" s="88">
        <f>COUNTIF(I2:I37,"Yes")</f>
        <v>20</v>
      </c>
      <c r="P2" s="95" t="s">
        <v>279</v>
      </c>
      <c r="Q2" s="87">
        <f>COUNTA(I2:I200)</f>
        <v>35</v>
      </c>
      <c r="R2" s="95" t="s">
        <v>591</v>
      </c>
      <c r="S2" s="87">
        <f>Q2-O4</f>
        <v>32</v>
      </c>
      <c r="T2" s="92" t="s">
        <v>612</v>
      </c>
      <c r="U2" s="193" t="s">
        <v>614</v>
      </c>
      <c r="V2" s="91"/>
      <c r="W2" s="91"/>
      <c r="X2" s="91"/>
      <c r="Y2" s="91"/>
      <c r="Z2" s="91"/>
      <c r="AA2" s="91"/>
      <c r="AB2" s="91"/>
      <c r="AC2" s="91"/>
      <c r="AD2" s="91"/>
      <c r="AE2" s="91"/>
      <c r="AF2" s="91"/>
    </row>
    <row r="3" spans="1:32" ht="115.95" customHeight="1" thickBot="1">
      <c r="A3" s="145"/>
      <c r="B3" s="149"/>
      <c r="C3" s="24" t="s">
        <v>69</v>
      </c>
      <c r="D3" s="27" t="s">
        <v>70</v>
      </c>
      <c r="E3" s="28" t="s">
        <v>71</v>
      </c>
      <c r="F3" s="28" t="s">
        <v>187</v>
      </c>
      <c r="G3" s="24" t="s">
        <v>519</v>
      </c>
      <c r="H3" s="24"/>
      <c r="I3" s="4" t="s">
        <v>275</v>
      </c>
      <c r="J3" s="50"/>
      <c r="K3" s="91"/>
      <c r="L3" s="91"/>
      <c r="M3" s="96" t="s">
        <v>273</v>
      </c>
      <c r="N3" s="97"/>
      <c r="O3" s="89">
        <f>COUNTIF(I2:I37,"No")</f>
        <v>12</v>
      </c>
      <c r="R3" s="91"/>
      <c r="S3" s="91"/>
      <c r="T3" s="91"/>
      <c r="U3" s="91"/>
      <c r="V3" s="91"/>
      <c r="W3" s="91"/>
      <c r="X3" s="91"/>
      <c r="Y3" s="91"/>
      <c r="Z3" s="91"/>
      <c r="AA3" s="91"/>
      <c r="AB3" s="91"/>
      <c r="AC3" s="91"/>
    </row>
    <row r="4" spans="1:32" ht="87" customHeight="1" thickBot="1">
      <c r="A4" s="145"/>
      <c r="B4" s="149"/>
      <c r="C4" s="24" t="s">
        <v>72</v>
      </c>
      <c r="D4" s="27" t="s">
        <v>73</v>
      </c>
      <c r="E4" s="28" t="s">
        <v>74</v>
      </c>
      <c r="F4" s="28" t="s">
        <v>188</v>
      </c>
      <c r="G4" s="24" t="s">
        <v>495</v>
      </c>
      <c r="H4" s="24"/>
      <c r="I4" s="4" t="s">
        <v>273</v>
      </c>
      <c r="J4" s="50"/>
      <c r="K4" s="91"/>
      <c r="L4" s="91"/>
      <c r="M4" s="58" t="s">
        <v>274</v>
      </c>
      <c r="N4" s="91"/>
      <c r="O4" s="90">
        <f>COUNTIF(I2:I37,"N/A")</f>
        <v>3</v>
      </c>
      <c r="P4" s="93"/>
      <c r="Q4" s="93"/>
      <c r="R4" s="91"/>
      <c r="S4" s="91"/>
      <c r="T4" s="91"/>
      <c r="U4" s="91"/>
      <c r="V4" s="91"/>
      <c r="W4" s="91"/>
      <c r="X4" s="91"/>
      <c r="Y4" s="91"/>
      <c r="Z4" s="91"/>
      <c r="AA4" s="91"/>
      <c r="AB4" s="91"/>
      <c r="AC4" s="91"/>
    </row>
    <row r="5" spans="1:32" ht="126.45" customHeight="1">
      <c r="A5" s="145"/>
      <c r="B5" s="149"/>
      <c r="C5" s="68" t="s">
        <v>75</v>
      </c>
      <c r="D5" s="27" t="s">
        <v>76</v>
      </c>
      <c r="E5" s="28" t="s">
        <v>77</v>
      </c>
      <c r="F5" s="28" t="s">
        <v>189</v>
      </c>
      <c r="G5" s="68" t="s">
        <v>493</v>
      </c>
      <c r="H5" s="68"/>
      <c r="I5" s="77" t="s">
        <v>274</v>
      </c>
      <c r="J5" s="50"/>
      <c r="K5" s="91"/>
      <c r="L5" s="91"/>
      <c r="M5" s="91"/>
      <c r="N5" s="91"/>
      <c r="P5" s="93"/>
      <c r="Q5" s="93"/>
      <c r="R5" s="91"/>
      <c r="S5" s="91"/>
      <c r="T5" s="91"/>
      <c r="U5" s="91"/>
      <c r="V5" s="91"/>
      <c r="W5" s="91"/>
      <c r="X5" s="91"/>
      <c r="Y5" s="91"/>
      <c r="Z5" s="91"/>
      <c r="AA5" s="91"/>
      <c r="AB5" s="91"/>
      <c r="AC5" s="91"/>
    </row>
    <row r="6" spans="1:32" ht="86.4">
      <c r="A6" s="145"/>
      <c r="B6" s="149"/>
      <c r="C6" s="24" t="s">
        <v>78</v>
      </c>
      <c r="D6" s="27" t="s">
        <v>79</v>
      </c>
      <c r="E6" s="28" t="s">
        <v>80</v>
      </c>
      <c r="F6" s="28" t="s">
        <v>190</v>
      </c>
      <c r="G6" s="24" t="s">
        <v>492</v>
      </c>
      <c r="H6" s="24"/>
      <c r="I6" s="4" t="s">
        <v>275</v>
      </c>
      <c r="J6" s="50"/>
      <c r="K6" s="91"/>
      <c r="L6" s="91"/>
      <c r="M6" s="91"/>
      <c r="N6" s="91"/>
      <c r="R6" s="91"/>
      <c r="S6" s="91"/>
      <c r="T6" s="91"/>
      <c r="U6" s="91"/>
      <c r="V6" s="91"/>
      <c r="W6" s="91"/>
      <c r="X6" s="91"/>
      <c r="Y6" s="91"/>
      <c r="Z6" s="91"/>
      <c r="AA6" s="91"/>
      <c r="AB6" s="91"/>
      <c r="AC6" s="91"/>
    </row>
    <row r="7" spans="1:32" ht="86.4">
      <c r="A7" s="145"/>
      <c r="B7" s="149"/>
      <c r="C7" s="24" t="s">
        <v>81</v>
      </c>
      <c r="D7" s="28" t="s">
        <v>82</v>
      </c>
      <c r="E7" s="28" t="s">
        <v>83</v>
      </c>
      <c r="F7" s="28" t="s">
        <v>191</v>
      </c>
      <c r="G7" s="24" t="s">
        <v>494</v>
      </c>
      <c r="H7" s="24"/>
      <c r="I7" s="4" t="s">
        <v>275</v>
      </c>
      <c r="J7" s="50"/>
      <c r="K7" s="91"/>
      <c r="L7" s="91"/>
      <c r="M7" s="91"/>
      <c r="N7" s="91"/>
      <c r="R7" s="91"/>
      <c r="S7" s="91"/>
      <c r="T7" s="91"/>
      <c r="U7" s="91"/>
      <c r="V7" s="91"/>
      <c r="W7" s="91"/>
      <c r="X7" s="91"/>
      <c r="Y7" s="91"/>
      <c r="Z7" s="91"/>
      <c r="AA7" s="91"/>
      <c r="AB7" s="91"/>
      <c r="AC7" s="91"/>
    </row>
    <row r="8" spans="1:32" ht="96.6">
      <c r="A8" s="145"/>
      <c r="B8" s="145" t="s">
        <v>6</v>
      </c>
      <c r="C8" s="145" t="s">
        <v>7</v>
      </c>
      <c r="D8" s="27" t="s">
        <v>8</v>
      </c>
      <c r="E8" s="29" t="s">
        <v>9</v>
      </c>
      <c r="F8" s="30" t="s">
        <v>159</v>
      </c>
      <c r="G8" s="24" t="s">
        <v>496</v>
      </c>
      <c r="H8" s="24"/>
      <c r="I8" s="4" t="s">
        <v>275</v>
      </c>
      <c r="J8" s="50"/>
      <c r="K8" s="91"/>
      <c r="L8" s="91"/>
      <c r="M8" s="91"/>
      <c r="N8" s="91"/>
      <c r="R8" s="91"/>
      <c r="S8" s="91"/>
      <c r="T8" s="91"/>
      <c r="U8" s="91"/>
      <c r="V8" s="91"/>
      <c r="W8" s="91"/>
      <c r="X8" s="91"/>
      <c r="Y8" s="91"/>
      <c r="Z8" s="91"/>
      <c r="AA8" s="91"/>
      <c r="AB8" s="91"/>
      <c r="AC8" s="91"/>
    </row>
    <row r="9" spans="1:32" ht="69">
      <c r="A9" s="145"/>
      <c r="B9" s="145"/>
      <c r="C9" s="145"/>
      <c r="D9" s="31" t="s">
        <v>10</v>
      </c>
      <c r="E9" s="31" t="s">
        <v>11</v>
      </c>
      <c r="F9" s="30" t="s">
        <v>161</v>
      </c>
      <c r="G9" s="24" t="s">
        <v>497</v>
      </c>
      <c r="H9" s="24"/>
      <c r="I9" s="124" t="s">
        <v>273</v>
      </c>
      <c r="J9" s="50"/>
      <c r="K9" s="91"/>
      <c r="L9" s="91"/>
      <c r="M9" s="91"/>
      <c r="N9" s="91"/>
      <c r="R9" s="91"/>
      <c r="S9" s="91"/>
      <c r="T9" s="91"/>
      <c r="U9" s="91"/>
      <c r="V9" s="91"/>
      <c r="W9" s="91"/>
      <c r="X9" s="91"/>
      <c r="Y9" s="91"/>
      <c r="Z9" s="91"/>
      <c r="AA9" s="91"/>
      <c r="AB9" s="91"/>
      <c r="AC9" s="91"/>
    </row>
    <row r="10" spans="1:32" ht="82.8">
      <c r="A10" s="145"/>
      <c r="B10" s="145"/>
      <c r="C10" s="178"/>
      <c r="D10" s="31" t="s">
        <v>13</v>
      </c>
      <c r="E10" s="31" t="s">
        <v>14</v>
      </c>
      <c r="F10" s="30" t="s">
        <v>165</v>
      </c>
      <c r="G10" s="24" t="s">
        <v>498</v>
      </c>
      <c r="H10" s="24"/>
      <c r="I10" s="4" t="s">
        <v>275</v>
      </c>
      <c r="J10" s="50"/>
      <c r="K10" s="91"/>
      <c r="L10" s="91"/>
      <c r="M10" s="91"/>
      <c r="N10" s="91"/>
      <c r="R10" s="91"/>
      <c r="S10" s="91"/>
      <c r="T10" s="91"/>
      <c r="U10" s="91"/>
      <c r="V10" s="91"/>
      <c r="W10" s="91"/>
      <c r="X10" s="91"/>
      <c r="Y10" s="91"/>
      <c r="Z10" s="91"/>
      <c r="AA10" s="91"/>
      <c r="AB10" s="91"/>
      <c r="AC10" s="91"/>
    </row>
    <row r="11" spans="1:32" ht="72">
      <c r="A11" s="145"/>
      <c r="B11" s="145"/>
      <c r="C11" s="178"/>
      <c r="D11" s="31" t="s">
        <v>15</v>
      </c>
      <c r="E11" s="31" t="s">
        <v>16</v>
      </c>
      <c r="F11" s="30" t="s">
        <v>167</v>
      </c>
      <c r="G11" s="24" t="s">
        <v>499</v>
      </c>
      <c r="H11" s="24"/>
      <c r="I11" s="4" t="s">
        <v>275</v>
      </c>
      <c r="J11" s="50"/>
      <c r="K11" s="91"/>
      <c r="L11" s="91"/>
      <c r="M11" s="91"/>
      <c r="N11" s="91"/>
      <c r="R11" s="91"/>
      <c r="S11" s="91"/>
      <c r="T11" s="91"/>
      <c r="U11" s="91"/>
      <c r="V11" s="91"/>
      <c r="W11" s="91"/>
      <c r="X11" s="91"/>
      <c r="Y11" s="91"/>
      <c r="Z11" s="91"/>
      <c r="AA11" s="91"/>
      <c r="AB11" s="91"/>
      <c r="AC11" s="91"/>
    </row>
    <row r="12" spans="1:32" ht="72">
      <c r="A12" s="145"/>
      <c r="B12" s="145"/>
      <c r="C12" s="3"/>
      <c r="D12" s="31" t="s">
        <v>20</v>
      </c>
      <c r="E12" s="31" t="s">
        <v>21</v>
      </c>
      <c r="F12" s="30" t="s">
        <v>172</v>
      </c>
      <c r="G12" s="24" t="s">
        <v>500</v>
      </c>
      <c r="H12" s="24"/>
      <c r="I12" s="4" t="s">
        <v>273</v>
      </c>
      <c r="J12" s="50"/>
      <c r="K12" s="91"/>
      <c r="L12" s="91"/>
      <c r="M12" s="91"/>
      <c r="N12" s="91"/>
      <c r="R12" s="91"/>
      <c r="S12" s="91"/>
      <c r="T12" s="91"/>
      <c r="U12" s="91"/>
      <c r="V12" s="91"/>
      <c r="W12" s="91"/>
      <c r="X12" s="91"/>
      <c r="Y12" s="91"/>
      <c r="Z12" s="91"/>
      <c r="AA12" s="91"/>
      <c r="AB12" s="91"/>
      <c r="AC12" s="91"/>
    </row>
    <row r="13" spans="1:32" ht="69">
      <c r="A13" s="145"/>
      <c r="B13" s="145"/>
      <c r="C13" s="3"/>
      <c r="D13" s="31" t="s">
        <v>22</v>
      </c>
      <c r="E13" s="31" t="s">
        <v>23</v>
      </c>
      <c r="F13" s="30" t="s">
        <v>173</v>
      </c>
      <c r="G13" s="24" t="s">
        <v>501</v>
      </c>
      <c r="H13" s="24"/>
      <c r="I13" s="124" t="s">
        <v>273</v>
      </c>
      <c r="J13" s="50"/>
      <c r="K13" s="91"/>
      <c r="L13" s="91"/>
      <c r="M13" s="91"/>
      <c r="N13" s="91"/>
      <c r="R13" s="91"/>
      <c r="S13" s="91"/>
      <c r="T13" s="91"/>
      <c r="U13" s="91"/>
      <c r="V13" s="91"/>
      <c r="W13" s="91"/>
      <c r="X13" s="91"/>
      <c r="Y13" s="91"/>
      <c r="Z13" s="91"/>
      <c r="AA13" s="91"/>
      <c r="AB13" s="91"/>
      <c r="AC13" s="91"/>
    </row>
    <row r="14" spans="1:32" ht="86.4">
      <c r="A14" s="145"/>
      <c r="B14" s="145"/>
      <c r="C14" s="4" t="s">
        <v>18</v>
      </c>
      <c r="D14" s="31" t="s">
        <v>36</v>
      </c>
      <c r="E14" s="31" t="s">
        <v>37</v>
      </c>
      <c r="F14" s="30" t="s">
        <v>178</v>
      </c>
      <c r="G14" s="24" t="s">
        <v>502</v>
      </c>
      <c r="H14" s="24"/>
      <c r="I14" s="4" t="s">
        <v>273</v>
      </c>
      <c r="J14" s="50"/>
      <c r="K14" s="91"/>
      <c r="L14" s="91"/>
      <c r="M14" s="91"/>
      <c r="N14" s="91"/>
      <c r="R14" s="91"/>
      <c r="S14" s="91"/>
      <c r="T14" s="91"/>
      <c r="U14" s="91"/>
      <c r="V14" s="91"/>
      <c r="W14" s="91"/>
      <c r="X14" s="91"/>
      <c r="Y14" s="91"/>
      <c r="Z14" s="91"/>
      <c r="AA14" s="91"/>
      <c r="AB14" s="91"/>
      <c r="AC14" s="91"/>
    </row>
    <row r="15" spans="1:32" ht="82.8">
      <c r="A15" s="145"/>
      <c r="B15" s="145"/>
      <c r="C15" s="178" t="s">
        <v>19</v>
      </c>
      <c r="D15" s="31" t="s">
        <v>48</v>
      </c>
      <c r="E15" s="31" t="s">
        <v>49</v>
      </c>
      <c r="F15" s="30" t="s">
        <v>181</v>
      </c>
      <c r="G15" s="24" t="s">
        <v>503</v>
      </c>
      <c r="H15" s="24"/>
      <c r="I15" s="4" t="s">
        <v>275</v>
      </c>
      <c r="J15" s="50"/>
      <c r="K15" s="91"/>
      <c r="L15" s="91"/>
      <c r="M15" s="91"/>
      <c r="N15" s="91"/>
      <c r="R15" s="91"/>
      <c r="S15" s="91"/>
      <c r="T15" s="91"/>
      <c r="U15" s="91"/>
      <c r="V15" s="91"/>
      <c r="W15" s="91"/>
      <c r="X15" s="91"/>
      <c r="Y15" s="91"/>
      <c r="Z15" s="91"/>
      <c r="AA15" s="91"/>
      <c r="AB15" s="91"/>
      <c r="AC15" s="91"/>
    </row>
    <row r="16" spans="1:32" ht="72">
      <c r="A16" s="145"/>
      <c r="B16" s="145"/>
      <c r="C16" s="178"/>
      <c r="D16" s="30" t="s">
        <v>52</v>
      </c>
      <c r="E16" s="31" t="s">
        <v>53</v>
      </c>
      <c r="F16" s="30" t="s">
        <v>182</v>
      </c>
      <c r="G16" s="24" t="s">
        <v>504</v>
      </c>
      <c r="H16" s="24"/>
      <c r="I16" s="4" t="s">
        <v>275</v>
      </c>
      <c r="J16" s="50"/>
      <c r="K16" s="91"/>
      <c r="L16" s="91"/>
      <c r="M16" s="91"/>
      <c r="N16" s="91"/>
      <c r="R16" s="91"/>
      <c r="S16" s="91"/>
      <c r="T16" s="91"/>
      <c r="U16" s="91"/>
      <c r="V16" s="91"/>
      <c r="W16" s="91"/>
      <c r="X16" s="91"/>
      <c r="Y16" s="91"/>
      <c r="Z16" s="91"/>
      <c r="AA16" s="91"/>
      <c r="AB16" s="91"/>
      <c r="AC16" s="91"/>
    </row>
    <row r="17" spans="1:29" ht="100.8">
      <c r="A17" s="145"/>
      <c r="B17" s="145"/>
      <c r="C17" s="4" t="s">
        <v>35</v>
      </c>
      <c r="D17" s="30" t="s">
        <v>57</v>
      </c>
      <c r="E17" s="31" t="s">
        <v>58</v>
      </c>
      <c r="F17" s="30" t="s">
        <v>183</v>
      </c>
      <c r="G17" s="24" t="s">
        <v>505</v>
      </c>
      <c r="H17" s="24"/>
      <c r="I17" s="4" t="s">
        <v>275</v>
      </c>
      <c r="J17" s="50"/>
      <c r="K17" s="91"/>
      <c r="L17" s="91"/>
      <c r="M17" s="91"/>
      <c r="N17" s="91"/>
      <c r="R17" s="91"/>
      <c r="S17" s="91"/>
      <c r="T17" s="91"/>
      <c r="U17" s="91"/>
      <c r="V17" s="91"/>
      <c r="W17" s="91"/>
      <c r="X17" s="91"/>
      <c r="Y17" s="91"/>
      <c r="Z17" s="91"/>
      <c r="AA17" s="91"/>
      <c r="AB17" s="91"/>
      <c r="AC17" s="91"/>
    </row>
    <row r="18" spans="1:29" ht="86.4">
      <c r="A18" s="145"/>
      <c r="B18" s="4" t="s">
        <v>24</v>
      </c>
      <c r="C18" s="4" t="s">
        <v>39</v>
      </c>
      <c r="D18" s="30" t="s">
        <v>62</v>
      </c>
      <c r="E18" s="31" t="s">
        <v>63</v>
      </c>
      <c r="F18" s="30" t="s">
        <v>185</v>
      </c>
      <c r="G18" s="24" t="s">
        <v>506</v>
      </c>
      <c r="H18" s="24"/>
      <c r="I18" s="4" t="s">
        <v>274</v>
      </c>
      <c r="J18" s="50"/>
      <c r="K18" s="91"/>
      <c r="L18" s="91"/>
      <c r="M18" s="91"/>
      <c r="N18" s="91"/>
      <c r="R18" s="91"/>
      <c r="S18" s="91"/>
      <c r="T18" s="91"/>
      <c r="U18" s="91"/>
      <c r="V18" s="91"/>
      <c r="W18" s="91"/>
      <c r="X18" s="91"/>
      <c r="Y18" s="91"/>
      <c r="Z18" s="91"/>
      <c r="AA18" s="91"/>
      <c r="AB18" s="91"/>
      <c r="AC18" s="91"/>
    </row>
    <row r="19" spans="1:29" ht="115.2">
      <c r="A19" s="145"/>
      <c r="B19" s="4" t="s">
        <v>38</v>
      </c>
      <c r="C19" s="4" t="s">
        <v>47</v>
      </c>
      <c r="D19" s="31" t="s">
        <v>67</v>
      </c>
      <c r="E19" s="29" t="s">
        <v>68</v>
      </c>
      <c r="F19" s="30" t="s">
        <v>186</v>
      </c>
      <c r="G19" s="24" t="s">
        <v>507</v>
      </c>
      <c r="H19" s="24"/>
      <c r="I19" s="4" t="s">
        <v>274</v>
      </c>
      <c r="J19" s="50"/>
      <c r="K19" s="91"/>
      <c r="L19" s="91"/>
      <c r="M19" s="91"/>
      <c r="N19" s="91"/>
      <c r="R19" s="91"/>
      <c r="S19" s="91"/>
      <c r="T19" s="91"/>
      <c r="U19" s="91"/>
      <c r="V19" s="91"/>
      <c r="W19" s="91"/>
      <c r="X19" s="91"/>
      <c r="Y19" s="91"/>
      <c r="Z19" s="91"/>
      <c r="AA19" s="91"/>
      <c r="AB19" s="91"/>
      <c r="AC19" s="91"/>
    </row>
    <row r="20" spans="1:29" ht="115.2">
      <c r="A20" s="145"/>
      <c r="B20" s="145" t="s">
        <v>46</v>
      </c>
      <c r="C20" s="4" t="s">
        <v>50</v>
      </c>
      <c r="D20" s="31" t="s">
        <v>70</v>
      </c>
      <c r="E20" s="30" t="s">
        <v>71</v>
      </c>
      <c r="F20" s="30" t="s">
        <v>187</v>
      </c>
      <c r="G20" s="24" t="s">
        <v>508</v>
      </c>
      <c r="H20" s="24"/>
      <c r="I20" s="4" t="s">
        <v>275</v>
      </c>
      <c r="J20" s="50"/>
      <c r="K20" s="91"/>
      <c r="L20" s="91"/>
      <c r="M20" s="91"/>
      <c r="N20" s="91"/>
      <c r="R20" s="91"/>
      <c r="S20" s="91"/>
      <c r="T20" s="91"/>
      <c r="U20" s="91"/>
      <c r="V20" s="91"/>
      <c r="W20" s="91"/>
      <c r="X20" s="91"/>
      <c r="Y20" s="91"/>
      <c r="Z20" s="91"/>
      <c r="AA20" s="91"/>
      <c r="AB20" s="91"/>
      <c r="AC20" s="91"/>
    </row>
    <row r="21" spans="1:29" ht="86.4">
      <c r="A21" s="145"/>
      <c r="B21" s="145"/>
      <c r="C21" s="25" t="s">
        <v>51</v>
      </c>
      <c r="D21" s="31" t="s">
        <v>73</v>
      </c>
      <c r="E21" s="30" t="s">
        <v>74</v>
      </c>
      <c r="F21" s="30" t="s">
        <v>188</v>
      </c>
      <c r="G21" s="24" t="s">
        <v>509</v>
      </c>
      <c r="H21" s="24"/>
      <c r="I21" s="4" t="s">
        <v>275</v>
      </c>
      <c r="J21" s="50"/>
      <c r="K21" s="91"/>
      <c r="L21" s="91"/>
      <c r="M21" s="91"/>
      <c r="N21" s="91"/>
      <c r="R21" s="91"/>
      <c r="S21" s="91"/>
      <c r="T21" s="91"/>
      <c r="U21" s="91"/>
      <c r="V21" s="91"/>
      <c r="W21" s="91"/>
      <c r="X21" s="91"/>
      <c r="Y21" s="91"/>
      <c r="Z21" s="91"/>
      <c r="AA21" s="91"/>
      <c r="AB21" s="91"/>
      <c r="AC21" s="91"/>
    </row>
    <row r="22" spans="1:29" ht="100.8">
      <c r="A22" s="145"/>
      <c r="B22" s="145"/>
      <c r="C22" s="25" t="s">
        <v>54</v>
      </c>
      <c r="D22" s="31" t="s">
        <v>76</v>
      </c>
      <c r="E22" s="30" t="s">
        <v>77</v>
      </c>
      <c r="F22" s="30" t="s">
        <v>189</v>
      </c>
      <c r="G22" s="24" t="s">
        <v>76</v>
      </c>
      <c r="H22" s="24"/>
      <c r="I22" s="4" t="s">
        <v>273</v>
      </c>
      <c r="J22" s="50"/>
      <c r="K22" s="91"/>
      <c r="L22" s="91"/>
      <c r="M22" s="91"/>
      <c r="N22" s="91"/>
      <c r="R22" s="91"/>
      <c r="S22" s="91"/>
      <c r="T22" s="91"/>
      <c r="U22" s="91"/>
      <c r="V22" s="91"/>
      <c r="W22" s="91"/>
      <c r="X22" s="91"/>
      <c r="Y22" s="91"/>
      <c r="Z22" s="91"/>
      <c r="AA22" s="91"/>
      <c r="AB22" s="91"/>
      <c r="AC22" s="91"/>
    </row>
    <row r="23" spans="1:29" ht="115.2">
      <c r="A23" s="145"/>
      <c r="B23" s="145"/>
      <c r="C23" s="25" t="s">
        <v>56</v>
      </c>
      <c r="D23" s="31" t="s">
        <v>88</v>
      </c>
      <c r="E23" s="32" t="s">
        <v>131</v>
      </c>
      <c r="F23" s="30" t="s">
        <v>192</v>
      </c>
      <c r="G23" s="24" t="s">
        <v>510</v>
      </c>
      <c r="H23" s="24"/>
      <c r="I23" s="4" t="s">
        <v>273</v>
      </c>
      <c r="J23" s="50"/>
      <c r="K23" s="91"/>
      <c r="L23" s="91"/>
      <c r="M23" s="91"/>
      <c r="N23" s="91"/>
      <c r="R23" s="91"/>
      <c r="S23" s="91"/>
      <c r="T23" s="91"/>
      <c r="U23" s="91"/>
      <c r="V23" s="91"/>
      <c r="W23" s="91"/>
      <c r="X23" s="91"/>
      <c r="Y23" s="91"/>
      <c r="Z23" s="91"/>
      <c r="AA23" s="91"/>
      <c r="AB23" s="91"/>
      <c r="AC23" s="91"/>
    </row>
    <row r="24" spans="1:29" ht="69">
      <c r="A24" s="145"/>
      <c r="B24" s="145"/>
      <c r="C24" s="4" t="s">
        <v>66</v>
      </c>
      <c r="D24" s="31" t="s">
        <v>93</v>
      </c>
      <c r="E24" s="31" t="s">
        <v>94</v>
      </c>
      <c r="F24" s="30" t="s">
        <v>195</v>
      </c>
      <c r="G24" s="24" t="s">
        <v>512</v>
      </c>
      <c r="H24" s="24"/>
      <c r="I24" s="4" t="s">
        <v>273</v>
      </c>
      <c r="J24" s="50"/>
      <c r="K24" s="91"/>
      <c r="L24" s="91"/>
      <c r="M24" s="91"/>
      <c r="N24" s="91"/>
      <c r="R24" s="91"/>
      <c r="S24" s="91"/>
      <c r="T24" s="91"/>
      <c r="U24" s="91"/>
      <c r="V24" s="91"/>
      <c r="W24" s="91"/>
      <c r="X24" s="91"/>
      <c r="Y24" s="91"/>
      <c r="Z24" s="91"/>
      <c r="AA24" s="91"/>
      <c r="AB24" s="91"/>
      <c r="AC24" s="91"/>
    </row>
    <row r="25" spans="1:29" ht="86.4">
      <c r="A25" s="145"/>
      <c r="B25" s="145"/>
      <c r="C25" s="4" t="s">
        <v>69</v>
      </c>
      <c r="D25" s="31" t="s">
        <v>95</v>
      </c>
      <c r="E25" s="31" t="s">
        <v>96</v>
      </c>
      <c r="F25" s="30" t="s">
        <v>196</v>
      </c>
      <c r="G25" s="24" t="s">
        <v>511</v>
      </c>
      <c r="H25" s="24"/>
      <c r="I25" s="4" t="s">
        <v>273</v>
      </c>
      <c r="J25" s="50"/>
      <c r="K25" s="91"/>
      <c r="L25" s="91"/>
      <c r="M25" s="91"/>
      <c r="N25" s="91"/>
      <c r="R25" s="91"/>
      <c r="S25" s="91"/>
      <c r="T25" s="91"/>
      <c r="U25" s="91"/>
      <c r="V25" s="91"/>
      <c r="W25" s="91"/>
      <c r="X25" s="91"/>
      <c r="Y25" s="91"/>
      <c r="Z25" s="91"/>
      <c r="AA25" s="91"/>
      <c r="AB25" s="91"/>
      <c r="AC25" s="91"/>
    </row>
    <row r="26" spans="1:29" ht="86.4">
      <c r="A26" s="145"/>
      <c r="B26" s="145"/>
      <c r="C26" s="4" t="s">
        <v>75</v>
      </c>
      <c r="D26" s="31" t="s">
        <v>99</v>
      </c>
      <c r="E26" s="31" t="s">
        <v>100</v>
      </c>
      <c r="F26" s="30" t="s">
        <v>198</v>
      </c>
      <c r="G26" s="24" t="s">
        <v>513</v>
      </c>
      <c r="H26" s="24"/>
      <c r="I26" s="4" t="s">
        <v>273</v>
      </c>
      <c r="J26" s="50"/>
      <c r="K26" s="91"/>
      <c r="L26" s="91"/>
      <c r="M26" s="91"/>
      <c r="N26" s="91"/>
      <c r="R26" s="91"/>
      <c r="S26" s="91"/>
      <c r="T26" s="91"/>
      <c r="U26" s="91"/>
      <c r="V26" s="91"/>
      <c r="W26" s="91"/>
      <c r="X26" s="91"/>
      <c r="Y26" s="91"/>
      <c r="Z26" s="91"/>
      <c r="AA26" s="91"/>
      <c r="AB26" s="91"/>
      <c r="AC26" s="91"/>
    </row>
    <row r="27" spans="1:29" ht="86.4">
      <c r="A27" s="145"/>
      <c r="B27" s="145"/>
      <c r="C27" s="145" t="s">
        <v>87</v>
      </c>
      <c r="D27" s="31" t="s">
        <v>125</v>
      </c>
      <c r="E27" s="31" t="s">
        <v>126</v>
      </c>
      <c r="F27" s="30" t="s">
        <v>212</v>
      </c>
      <c r="G27" s="24" t="s">
        <v>514</v>
      </c>
      <c r="H27" s="24"/>
      <c r="I27" s="4" t="s">
        <v>275</v>
      </c>
      <c r="J27" s="50"/>
      <c r="K27" s="91"/>
      <c r="L27" s="91"/>
      <c r="M27" s="91"/>
      <c r="N27" s="91"/>
      <c r="R27" s="91"/>
      <c r="S27" s="91"/>
      <c r="T27" s="91"/>
      <c r="U27" s="91"/>
      <c r="V27" s="91"/>
      <c r="W27" s="91"/>
      <c r="X27" s="91"/>
      <c r="Y27" s="91"/>
      <c r="Z27" s="91"/>
      <c r="AA27" s="91"/>
      <c r="AB27" s="91"/>
      <c r="AC27" s="91"/>
    </row>
    <row r="28" spans="1:29" ht="86.4">
      <c r="A28" s="145"/>
      <c r="B28" s="145"/>
      <c r="C28" s="145"/>
      <c r="D28" s="31" t="s">
        <v>127</v>
      </c>
      <c r="E28" s="31" t="s">
        <v>128</v>
      </c>
      <c r="F28" s="30" t="s">
        <v>213</v>
      </c>
      <c r="G28" s="24" t="s">
        <v>515</v>
      </c>
      <c r="H28" s="24"/>
      <c r="I28" s="124" t="s">
        <v>273</v>
      </c>
      <c r="J28" s="50"/>
      <c r="K28" s="91"/>
      <c r="L28" s="91"/>
      <c r="M28" s="91"/>
      <c r="N28" s="91"/>
      <c r="R28" s="91"/>
      <c r="S28" s="91"/>
      <c r="T28" s="91"/>
      <c r="U28" s="91"/>
      <c r="V28" s="91"/>
      <c r="W28" s="91"/>
      <c r="X28" s="91"/>
      <c r="Y28" s="91"/>
      <c r="Z28" s="91"/>
      <c r="AA28" s="91"/>
      <c r="AB28" s="91"/>
      <c r="AC28" s="91"/>
    </row>
    <row r="29" spans="1:29" ht="86.4">
      <c r="A29" s="145"/>
      <c r="B29" s="145" t="s">
        <v>84</v>
      </c>
      <c r="C29" s="145" t="s">
        <v>92</v>
      </c>
      <c r="D29" s="31" t="s">
        <v>129</v>
      </c>
      <c r="E29" s="31" t="s">
        <v>130</v>
      </c>
      <c r="F29" s="30" t="s">
        <v>214</v>
      </c>
      <c r="G29" s="24" t="s">
        <v>516</v>
      </c>
      <c r="H29" s="24"/>
      <c r="I29" s="4" t="s">
        <v>275</v>
      </c>
      <c r="J29" s="50"/>
      <c r="K29" s="91"/>
      <c r="L29" s="91"/>
      <c r="M29" s="91"/>
      <c r="N29" s="91"/>
      <c r="R29" s="91"/>
      <c r="S29" s="91"/>
      <c r="T29" s="91"/>
      <c r="U29" s="91"/>
      <c r="V29" s="91"/>
      <c r="W29" s="91"/>
      <c r="X29" s="91"/>
      <c r="Y29" s="91"/>
      <c r="Z29" s="91"/>
      <c r="AA29" s="91"/>
      <c r="AB29" s="91"/>
      <c r="AC29" s="91"/>
    </row>
    <row r="30" spans="1:29" ht="82.8">
      <c r="A30" s="145"/>
      <c r="B30" s="145"/>
      <c r="C30" s="145"/>
      <c r="D30" s="31" t="s">
        <v>103</v>
      </c>
      <c r="E30" s="31" t="s">
        <v>104</v>
      </c>
      <c r="F30" s="30" t="s">
        <v>199</v>
      </c>
      <c r="G30" s="24" t="s">
        <v>103</v>
      </c>
      <c r="H30" s="24"/>
      <c r="I30" s="4" t="s">
        <v>275</v>
      </c>
      <c r="J30" s="50"/>
      <c r="K30" s="91"/>
      <c r="L30" s="91"/>
      <c r="R30" s="91"/>
      <c r="S30" s="91"/>
      <c r="T30" s="91"/>
      <c r="U30" s="91"/>
      <c r="V30" s="91"/>
      <c r="W30" s="91"/>
      <c r="X30" s="91"/>
      <c r="Y30" s="91"/>
      <c r="Z30" s="91"/>
      <c r="AA30" s="91"/>
      <c r="AB30" s="91"/>
      <c r="AC30" s="91"/>
    </row>
    <row r="31" spans="1:29" ht="69">
      <c r="A31" s="145"/>
      <c r="B31" s="145"/>
      <c r="C31" s="4"/>
      <c r="D31" s="31" t="s">
        <v>114</v>
      </c>
      <c r="E31" s="31" t="s">
        <v>115</v>
      </c>
      <c r="F31" s="30" t="s">
        <v>207</v>
      </c>
      <c r="G31" s="149" t="s">
        <v>517</v>
      </c>
      <c r="H31" s="24"/>
      <c r="I31" s="4" t="s">
        <v>275</v>
      </c>
      <c r="J31" s="50"/>
      <c r="K31" s="91"/>
      <c r="L31" s="91"/>
      <c r="R31" s="91"/>
      <c r="S31" s="91"/>
      <c r="T31" s="91"/>
      <c r="U31" s="91"/>
      <c r="V31" s="91"/>
      <c r="W31" s="91"/>
      <c r="X31" s="91"/>
      <c r="Y31" s="91"/>
      <c r="Z31" s="91"/>
      <c r="AA31" s="91"/>
      <c r="AB31" s="91"/>
      <c r="AC31" s="91"/>
    </row>
    <row r="32" spans="1:29" ht="69">
      <c r="A32" s="145"/>
      <c r="B32" s="145" t="s">
        <v>86</v>
      </c>
      <c r="C32" s="4" t="s">
        <v>97</v>
      </c>
      <c r="D32" s="31" t="s">
        <v>116</v>
      </c>
      <c r="E32" s="31" t="s">
        <v>117</v>
      </c>
      <c r="F32" s="30" t="s">
        <v>208</v>
      </c>
      <c r="G32" s="149"/>
      <c r="H32" s="24"/>
      <c r="I32" s="4" t="s">
        <v>275</v>
      </c>
      <c r="J32" s="50"/>
    </row>
    <row r="33" spans="1:10" ht="55.2">
      <c r="A33" s="145"/>
      <c r="B33" s="145"/>
      <c r="C33" s="4" t="s">
        <v>98</v>
      </c>
      <c r="D33" s="31" t="s">
        <v>118</v>
      </c>
      <c r="E33" s="31" t="s">
        <v>119</v>
      </c>
      <c r="F33" s="30" t="s">
        <v>209</v>
      </c>
      <c r="G33" s="149"/>
      <c r="H33" s="24"/>
      <c r="I33" s="4" t="s">
        <v>275</v>
      </c>
      <c r="J33" s="50"/>
    </row>
    <row r="34" spans="1:10" ht="69">
      <c r="A34" s="145"/>
      <c r="B34" s="145" t="s">
        <v>91</v>
      </c>
      <c r="C34" s="86"/>
      <c r="D34" s="31" t="s">
        <v>120</v>
      </c>
      <c r="E34" s="31" t="s">
        <v>121</v>
      </c>
      <c r="F34" s="30" t="s">
        <v>210</v>
      </c>
      <c r="G34" s="24" t="s">
        <v>120</v>
      </c>
      <c r="H34" s="24"/>
      <c r="I34" s="4" t="s">
        <v>275</v>
      </c>
      <c r="J34" s="50"/>
    </row>
    <row r="35" spans="1:10" ht="69">
      <c r="A35" s="145"/>
      <c r="B35" s="145"/>
      <c r="C35" s="145" t="s">
        <v>124</v>
      </c>
      <c r="D35" s="31" t="s">
        <v>122</v>
      </c>
      <c r="E35" s="31" t="s">
        <v>123</v>
      </c>
      <c r="F35" s="30" t="s">
        <v>211</v>
      </c>
      <c r="G35" s="24" t="s">
        <v>122</v>
      </c>
      <c r="H35" s="24"/>
      <c r="I35" s="4" t="s">
        <v>275</v>
      </c>
      <c r="J35" s="50"/>
    </row>
    <row r="36" spans="1:10" ht="232.05" customHeight="1">
      <c r="A36" s="145"/>
      <c r="B36" s="145"/>
      <c r="C36" s="145"/>
      <c r="D36" s="177" t="s">
        <v>247</v>
      </c>
      <c r="E36" s="145" t="s">
        <v>255</v>
      </c>
      <c r="F36" s="145" t="s">
        <v>261</v>
      </c>
      <c r="G36" s="145" t="s">
        <v>518</v>
      </c>
      <c r="H36" s="145"/>
      <c r="I36" s="145" t="s">
        <v>275</v>
      </c>
    </row>
    <row r="37" spans="1:10">
      <c r="A37" s="145"/>
      <c r="B37" s="145"/>
      <c r="C37" s="145"/>
      <c r="D37" s="177"/>
      <c r="E37" s="145"/>
      <c r="F37" s="145"/>
      <c r="G37" s="145"/>
      <c r="H37" s="145"/>
      <c r="I37" s="145"/>
      <c r="J37" s="50"/>
    </row>
    <row r="38" spans="1:10">
      <c r="J38" s="50"/>
    </row>
  </sheetData>
  <mergeCells count="24">
    <mergeCell ref="A2:A37"/>
    <mergeCell ref="B2:B5"/>
    <mergeCell ref="B6:B7"/>
    <mergeCell ref="B8:B17"/>
    <mergeCell ref="C8:C9"/>
    <mergeCell ref="C10:C11"/>
    <mergeCell ref="C15:C16"/>
    <mergeCell ref="B20:B23"/>
    <mergeCell ref="B24:B25"/>
    <mergeCell ref="B26:B28"/>
    <mergeCell ref="C27:C28"/>
    <mergeCell ref="B29:B31"/>
    <mergeCell ref="C29:C30"/>
    <mergeCell ref="G31:G33"/>
    <mergeCell ref="B32:B33"/>
    <mergeCell ref="M1:N1"/>
    <mergeCell ref="B34:B37"/>
    <mergeCell ref="C35:C37"/>
    <mergeCell ref="I36:I37"/>
    <mergeCell ref="D36:D37"/>
    <mergeCell ref="E36:E37"/>
    <mergeCell ref="F36:F37"/>
    <mergeCell ref="G36:G37"/>
    <mergeCell ref="H36:H37"/>
  </mergeCells>
  <conditionalFormatting sqref="A1:D1">
    <cfRule type="expression" dxfId="35" priority="7">
      <formula>$A1="header"</formula>
    </cfRule>
  </conditionalFormatting>
  <conditionalFormatting sqref="A1:I1">
    <cfRule type="expression" dxfId="34" priority="5">
      <formula>$A1="header"</formula>
    </cfRule>
    <cfRule type="expression" dxfId="33" priority="6">
      <formula>$A1="blank"</formula>
    </cfRule>
  </conditionalFormatting>
  <conditionalFormatting sqref="I2:I36">
    <cfRule type="cellIs" dxfId="32" priority="1" operator="equal">
      <formula>"N/A"</formula>
    </cfRule>
    <cfRule type="cellIs" dxfId="31" priority="2" operator="equal">
      <formula>"N/A"</formula>
    </cfRule>
    <cfRule type="cellIs" dxfId="30" priority="3" operator="equal">
      <formula>"No"</formula>
    </cfRule>
    <cfRule type="cellIs" dxfId="29"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r:id="rId1"/>
</worksheet>
</file>

<file path=xl/worksheets/sheet5.xml><?xml version="1.0" encoding="utf-8"?>
<worksheet xmlns="http://schemas.openxmlformats.org/spreadsheetml/2006/main" xmlns:r="http://schemas.openxmlformats.org/officeDocument/2006/relationships">
  <sheetPr>
    <tabColor theme="9" tint="-0.249977111117893"/>
  </sheetPr>
  <dimension ref="A1:R26"/>
  <sheetViews>
    <sheetView topLeftCell="H1" zoomScale="64" zoomScaleNormal="95" workbookViewId="0">
      <selection activeCell="M7" sqref="M7"/>
    </sheetView>
  </sheetViews>
  <sheetFormatPr baseColWidth="10" defaultRowHeight="14.4"/>
  <cols>
    <col min="2" max="2" width="31.6640625" customWidth="1"/>
    <col min="3" max="3" width="22.21875" customWidth="1"/>
    <col min="4" max="4" width="23.21875" customWidth="1"/>
    <col min="5" max="5" width="27" customWidth="1"/>
    <col min="6" max="6" width="32.21875" customWidth="1"/>
    <col min="7" max="7" width="31.44140625" customWidth="1"/>
    <col min="8" max="9" width="50.33203125" customWidth="1"/>
    <col min="11" max="11" width="7.44140625" customWidth="1"/>
    <col min="12" max="12" width="21.33203125" customWidth="1"/>
    <col min="13" max="13" width="31.6640625" customWidth="1"/>
    <col min="14" max="14" width="30.21875" customWidth="1"/>
    <col min="15" max="15" width="25.77734375" customWidth="1"/>
    <col min="16" max="16" width="22.44140625" customWidth="1"/>
    <col min="17" max="17" width="19.109375" customWidth="1"/>
    <col min="18" max="18" width="38.5546875" customWidth="1"/>
  </cols>
  <sheetData>
    <row r="1" spans="1:18" ht="15" thickBot="1">
      <c r="J1" s="50"/>
      <c r="K1" s="50"/>
      <c r="L1" s="50"/>
      <c r="M1" s="50"/>
      <c r="N1" s="50"/>
      <c r="O1" s="50"/>
      <c r="P1" s="50"/>
      <c r="Q1" s="50"/>
      <c r="R1" s="50"/>
    </row>
    <row r="2" spans="1:18" ht="40.950000000000003" customHeight="1" thickBot="1">
      <c r="A2" s="50"/>
      <c r="B2" s="50"/>
      <c r="C2" s="50"/>
      <c r="D2" s="50"/>
      <c r="E2" s="50"/>
      <c r="F2" s="50"/>
      <c r="G2" s="50"/>
      <c r="H2" s="50"/>
      <c r="I2" s="50"/>
      <c r="K2" s="50"/>
      <c r="L2" s="167" t="s">
        <v>279</v>
      </c>
      <c r="M2" s="168"/>
      <c r="N2" s="117" t="s">
        <v>601</v>
      </c>
      <c r="O2" s="58" t="s">
        <v>275</v>
      </c>
      <c r="P2" s="58" t="s">
        <v>273</v>
      </c>
      <c r="Q2" s="58" t="s">
        <v>274</v>
      </c>
      <c r="R2" s="58" t="s">
        <v>521</v>
      </c>
    </row>
    <row r="3" spans="1:18" ht="14.55" customHeight="1">
      <c r="A3" s="50"/>
      <c r="B3" s="6" t="s">
        <v>148</v>
      </c>
      <c r="C3" s="6" t="s">
        <v>2</v>
      </c>
      <c r="D3" s="6" t="s">
        <v>256</v>
      </c>
      <c r="E3" s="6" t="s">
        <v>257</v>
      </c>
      <c r="F3" s="6" t="s">
        <v>258</v>
      </c>
      <c r="G3" s="13" t="s">
        <v>259</v>
      </c>
      <c r="H3" s="6" t="s">
        <v>260</v>
      </c>
      <c r="I3" s="6"/>
      <c r="J3" s="6" t="s">
        <v>272</v>
      </c>
      <c r="K3" s="50"/>
      <c r="L3" s="158">
        <f>COUNTA(H4:H25)</f>
        <v>21</v>
      </c>
      <c r="M3" s="169"/>
      <c r="N3" s="182">
        <f>L3-Q3</f>
        <v>20</v>
      </c>
      <c r="O3" s="172">
        <f>COUNTIF(J4:J21,"Yes")</f>
        <v>16</v>
      </c>
      <c r="P3" s="151">
        <f>COUNTIF(J4:J21,"No")</f>
        <v>0</v>
      </c>
      <c r="Q3" s="154">
        <f>COUNTIF(J4:J21,"N/A")</f>
        <v>1</v>
      </c>
      <c r="R3" s="161">
        <f>O3/N3</f>
        <v>0.8</v>
      </c>
    </row>
    <row r="4" spans="1:18" ht="94.5" customHeight="1">
      <c r="A4" s="50"/>
      <c r="B4" s="146" t="s">
        <v>85</v>
      </c>
      <c r="C4" s="140" t="s">
        <v>86</v>
      </c>
      <c r="D4" s="145" t="s">
        <v>87</v>
      </c>
      <c r="E4" s="179" t="s">
        <v>278</v>
      </c>
      <c r="F4" s="12" t="s">
        <v>89</v>
      </c>
      <c r="G4" s="10" t="s">
        <v>193</v>
      </c>
      <c r="H4" s="149" t="s">
        <v>321</v>
      </c>
      <c r="I4" s="24" t="s">
        <v>567</v>
      </c>
      <c r="J4" s="145" t="s">
        <v>274</v>
      </c>
      <c r="K4" s="50"/>
      <c r="L4" s="159"/>
      <c r="M4" s="170"/>
      <c r="N4" s="183"/>
      <c r="O4" s="173"/>
      <c r="P4" s="152"/>
      <c r="Q4" s="155"/>
      <c r="R4" s="162"/>
    </row>
    <row r="5" spans="1:18" ht="81" customHeight="1" thickBot="1">
      <c r="A5" s="50"/>
      <c r="B5" s="147"/>
      <c r="C5" s="142"/>
      <c r="D5" s="145"/>
      <c r="E5" s="179"/>
      <c r="F5" s="12" t="s">
        <v>90</v>
      </c>
      <c r="G5" s="10" t="s">
        <v>194</v>
      </c>
      <c r="H5" s="149"/>
      <c r="I5" s="24" t="s">
        <v>568</v>
      </c>
      <c r="J5" s="145"/>
      <c r="K5" s="50"/>
      <c r="L5" s="160"/>
      <c r="M5" s="171"/>
      <c r="N5" s="184"/>
      <c r="O5" s="174"/>
      <c r="P5" s="153"/>
      <c r="Q5" s="156"/>
      <c r="R5" s="163"/>
    </row>
    <row r="6" spans="1:18" ht="111" customHeight="1" thickBot="1">
      <c r="A6" s="50"/>
      <c r="B6" s="147"/>
      <c r="C6" s="141"/>
      <c r="D6" s="2" t="s">
        <v>384</v>
      </c>
      <c r="E6" s="9" t="s">
        <v>385</v>
      </c>
      <c r="F6" s="12" t="s">
        <v>386</v>
      </c>
      <c r="G6" s="10" t="s">
        <v>387</v>
      </c>
      <c r="H6" s="24" t="s">
        <v>325</v>
      </c>
      <c r="I6" s="24" t="s">
        <v>569</v>
      </c>
      <c r="J6" s="4" t="s">
        <v>275</v>
      </c>
      <c r="K6" s="50"/>
      <c r="L6" s="67"/>
      <c r="N6" s="67"/>
      <c r="O6" s="67"/>
      <c r="P6" s="67"/>
      <c r="Q6" s="67"/>
      <c r="R6" s="50"/>
    </row>
    <row r="7" spans="1:18" ht="61.95" customHeight="1" thickBot="1">
      <c r="A7" s="50"/>
      <c r="B7" s="147"/>
      <c r="C7" s="145" t="s">
        <v>91</v>
      </c>
      <c r="D7" s="145" t="s">
        <v>216</v>
      </c>
      <c r="E7" s="179" t="s">
        <v>546</v>
      </c>
      <c r="F7" s="180" t="s">
        <v>547</v>
      </c>
      <c r="G7" s="181" t="s">
        <v>197</v>
      </c>
      <c r="H7" s="24" t="s">
        <v>319</v>
      </c>
      <c r="I7" s="24" t="s">
        <v>570</v>
      </c>
      <c r="J7" s="4" t="s">
        <v>275</v>
      </c>
      <c r="K7" s="50"/>
      <c r="L7" s="92" t="s">
        <v>612</v>
      </c>
      <c r="M7" s="193" t="s">
        <v>613</v>
      </c>
      <c r="N7" s="50"/>
      <c r="O7" s="114"/>
    </row>
    <row r="8" spans="1:18" ht="53.55" customHeight="1">
      <c r="A8" s="50"/>
      <c r="B8" s="147"/>
      <c r="C8" s="145"/>
      <c r="D8" s="145"/>
      <c r="E8" s="179"/>
      <c r="F8" s="180"/>
      <c r="G8" s="181"/>
      <c r="H8" s="24" t="s">
        <v>320</v>
      </c>
      <c r="I8" s="24" t="s">
        <v>570</v>
      </c>
      <c r="J8" s="4" t="s">
        <v>275</v>
      </c>
      <c r="K8" s="50"/>
      <c r="L8" s="50"/>
      <c r="M8" s="50"/>
      <c r="N8" s="50"/>
      <c r="O8" s="115"/>
    </row>
    <row r="9" spans="1:18" ht="57.6">
      <c r="A9" s="50"/>
      <c r="B9" s="147"/>
      <c r="C9" s="4" t="s">
        <v>306</v>
      </c>
      <c r="D9" s="3" t="s">
        <v>377</v>
      </c>
      <c r="E9" s="42" t="s">
        <v>388</v>
      </c>
      <c r="F9" s="2" t="s">
        <v>389</v>
      </c>
      <c r="G9" s="2" t="s">
        <v>390</v>
      </c>
      <c r="H9" s="2" t="s">
        <v>309</v>
      </c>
      <c r="I9" s="2" t="s">
        <v>571</v>
      </c>
      <c r="J9" s="4" t="s">
        <v>275</v>
      </c>
      <c r="K9" s="50"/>
      <c r="L9" s="50"/>
      <c r="M9" s="50"/>
      <c r="N9" s="50"/>
      <c r="O9" s="50"/>
    </row>
    <row r="10" spans="1:18" ht="58.05" customHeight="1">
      <c r="A10" s="50"/>
      <c r="B10" s="147"/>
      <c r="C10" s="178" t="s">
        <v>307</v>
      </c>
      <c r="D10" s="140" t="s">
        <v>439</v>
      </c>
      <c r="E10" s="2" t="s">
        <v>391</v>
      </c>
      <c r="F10" s="2" t="s">
        <v>393</v>
      </c>
      <c r="G10" s="2" t="s">
        <v>395</v>
      </c>
      <c r="H10" s="2" t="s">
        <v>311</v>
      </c>
      <c r="I10" s="2" t="s">
        <v>572</v>
      </c>
      <c r="J10" s="4" t="s">
        <v>275</v>
      </c>
      <c r="K10" s="50"/>
      <c r="L10" s="50"/>
      <c r="M10" s="50"/>
      <c r="N10" s="50"/>
      <c r="O10" s="50"/>
    </row>
    <row r="11" spans="1:18" ht="43.2">
      <c r="A11" s="50"/>
      <c r="B11" s="147"/>
      <c r="C11" s="178"/>
      <c r="D11" s="141"/>
      <c r="E11" s="2" t="s">
        <v>392</v>
      </c>
      <c r="F11" s="2" t="s">
        <v>394</v>
      </c>
      <c r="G11" s="2" t="s">
        <v>396</v>
      </c>
      <c r="H11" s="2" t="s">
        <v>310</v>
      </c>
      <c r="I11" s="2" t="s">
        <v>573</v>
      </c>
      <c r="J11" s="4" t="s">
        <v>275</v>
      </c>
      <c r="K11" s="50"/>
      <c r="L11" s="50"/>
      <c r="M11" s="50"/>
      <c r="N11" s="50"/>
      <c r="O11" s="50"/>
    </row>
    <row r="12" spans="1:18" ht="52.05" customHeight="1">
      <c r="A12" s="50"/>
      <c r="B12" s="147"/>
      <c r="C12" s="146" t="s">
        <v>308</v>
      </c>
      <c r="D12" s="178" t="s">
        <v>440</v>
      </c>
      <c r="E12" s="2" t="s">
        <v>397</v>
      </c>
      <c r="F12" s="2" t="s">
        <v>398</v>
      </c>
      <c r="G12" s="2" t="s">
        <v>399</v>
      </c>
      <c r="H12" s="2" t="s">
        <v>312</v>
      </c>
      <c r="I12" s="2" t="s">
        <v>574</v>
      </c>
      <c r="J12" s="4" t="s">
        <v>275</v>
      </c>
      <c r="L12" s="50"/>
      <c r="M12" s="50"/>
      <c r="N12" s="50"/>
      <c r="O12" s="50"/>
    </row>
    <row r="13" spans="1:18" ht="58.5" customHeight="1">
      <c r="A13" s="50"/>
      <c r="B13" s="147"/>
      <c r="C13" s="147"/>
      <c r="D13" s="178"/>
      <c r="E13" s="2" t="s">
        <v>401</v>
      </c>
      <c r="F13" s="2" t="s">
        <v>402</v>
      </c>
      <c r="G13" s="2" t="s">
        <v>405</v>
      </c>
      <c r="H13" s="2" t="s">
        <v>334</v>
      </c>
      <c r="I13" s="2" t="s">
        <v>575</v>
      </c>
      <c r="J13" s="4" t="s">
        <v>275</v>
      </c>
      <c r="L13" s="50"/>
      <c r="M13" s="50"/>
      <c r="N13" s="50"/>
      <c r="O13" s="50"/>
    </row>
    <row r="14" spans="1:18" ht="53.55" customHeight="1">
      <c r="A14" s="50"/>
      <c r="B14" s="147"/>
      <c r="C14" s="148"/>
      <c r="D14" s="3" t="s">
        <v>441</v>
      </c>
      <c r="E14" s="2" t="s">
        <v>400</v>
      </c>
      <c r="F14" s="2" t="s">
        <v>403</v>
      </c>
      <c r="G14" s="2" t="s">
        <v>404</v>
      </c>
      <c r="H14" s="2" t="s">
        <v>335</v>
      </c>
      <c r="I14" s="2" t="s">
        <v>576</v>
      </c>
      <c r="J14" s="4" t="s">
        <v>275</v>
      </c>
    </row>
    <row r="15" spans="1:18" ht="66" customHeight="1">
      <c r="B15" s="147"/>
      <c r="C15" s="145" t="s">
        <v>315</v>
      </c>
      <c r="D15" s="146" t="s">
        <v>442</v>
      </c>
      <c r="E15" s="24" t="s">
        <v>406</v>
      </c>
      <c r="F15" s="24" t="s">
        <v>408</v>
      </c>
      <c r="G15" s="24" t="s">
        <v>410</v>
      </c>
      <c r="H15" s="2" t="s">
        <v>313</v>
      </c>
      <c r="I15" s="2" t="s">
        <v>577</v>
      </c>
      <c r="J15" s="4" t="s">
        <v>275</v>
      </c>
    </row>
    <row r="16" spans="1:18" ht="43.2">
      <c r="B16" s="147"/>
      <c r="C16" s="145"/>
      <c r="D16" s="148"/>
      <c r="E16" s="24" t="s">
        <v>407</v>
      </c>
      <c r="F16" s="24" t="s">
        <v>409</v>
      </c>
      <c r="G16" s="24" t="s">
        <v>411</v>
      </c>
      <c r="H16" s="2" t="s">
        <v>314</v>
      </c>
      <c r="I16" s="2" t="s">
        <v>578</v>
      </c>
      <c r="J16" s="4" t="s">
        <v>275</v>
      </c>
    </row>
    <row r="17" spans="2:10" ht="77.55" customHeight="1">
      <c r="B17" s="147"/>
      <c r="C17" s="140" t="s">
        <v>316</v>
      </c>
      <c r="D17" s="146" t="s">
        <v>443</v>
      </c>
      <c r="E17" s="74" t="s">
        <v>412</v>
      </c>
      <c r="F17" s="24" t="s">
        <v>414</v>
      </c>
      <c r="G17" s="75" t="s">
        <v>416</v>
      </c>
      <c r="H17" s="2" t="s">
        <v>317</v>
      </c>
      <c r="I17" s="2" t="s">
        <v>579</v>
      </c>
      <c r="J17" s="4" t="s">
        <v>275</v>
      </c>
    </row>
    <row r="18" spans="2:10" ht="57.6">
      <c r="B18" s="147"/>
      <c r="C18" s="141"/>
      <c r="D18" s="148"/>
      <c r="E18" s="72" t="s">
        <v>413</v>
      </c>
      <c r="F18" s="24" t="s">
        <v>415</v>
      </c>
      <c r="G18" s="72" t="s">
        <v>417</v>
      </c>
      <c r="H18" s="42" t="s">
        <v>318</v>
      </c>
      <c r="I18" s="42" t="s">
        <v>580</v>
      </c>
      <c r="J18" s="4" t="s">
        <v>275</v>
      </c>
    </row>
    <row r="19" spans="2:10" ht="42" customHeight="1">
      <c r="B19" s="147"/>
      <c r="C19" s="178" t="s">
        <v>323</v>
      </c>
      <c r="D19" s="3" t="s">
        <v>444</v>
      </c>
      <c r="E19" s="42" t="s">
        <v>418</v>
      </c>
      <c r="F19" s="2" t="s">
        <v>419</v>
      </c>
      <c r="G19" s="2" t="s">
        <v>420</v>
      </c>
      <c r="H19" s="71" t="s">
        <v>322</v>
      </c>
      <c r="I19" s="71" t="s">
        <v>581</v>
      </c>
      <c r="J19" s="4" t="s">
        <v>275</v>
      </c>
    </row>
    <row r="20" spans="2:10" ht="39" customHeight="1">
      <c r="B20" s="147"/>
      <c r="C20" s="178"/>
      <c r="D20" s="3" t="s">
        <v>445</v>
      </c>
      <c r="E20" s="42" t="s">
        <v>421</v>
      </c>
      <c r="F20" s="71" t="s">
        <v>422</v>
      </c>
      <c r="G20" s="2" t="s">
        <v>423</v>
      </c>
      <c r="H20" s="2" t="s">
        <v>324</v>
      </c>
      <c r="I20" s="2" t="s">
        <v>582</v>
      </c>
      <c r="J20" s="4" t="s">
        <v>275</v>
      </c>
    </row>
    <row r="21" spans="2:10" ht="43.2">
      <c r="B21" s="147"/>
      <c r="C21" s="145" t="s">
        <v>326</v>
      </c>
      <c r="D21" s="146" t="s">
        <v>446</v>
      </c>
      <c r="E21" s="65" t="s">
        <v>424</v>
      </c>
      <c r="F21" s="73" t="s">
        <v>425</v>
      </c>
      <c r="G21" s="73" t="s">
        <v>426</v>
      </c>
      <c r="H21" s="2" t="s">
        <v>327</v>
      </c>
      <c r="I21" s="2" t="s">
        <v>583</v>
      </c>
      <c r="J21" s="4" t="s">
        <v>275</v>
      </c>
    </row>
    <row r="22" spans="2:10" ht="41.55" customHeight="1">
      <c r="B22" s="147"/>
      <c r="C22" s="145"/>
      <c r="D22" s="148"/>
      <c r="E22" s="24" t="s">
        <v>427</v>
      </c>
      <c r="F22" s="24" t="s">
        <v>428</v>
      </c>
      <c r="G22" s="24" t="s">
        <v>429</v>
      </c>
      <c r="H22" s="2" t="s">
        <v>328</v>
      </c>
      <c r="I22" s="2" t="s">
        <v>584</v>
      </c>
      <c r="J22" s="4" t="s">
        <v>275</v>
      </c>
    </row>
    <row r="23" spans="2:10" ht="57.6">
      <c r="B23" s="147"/>
      <c r="C23" s="4" t="s">
        <v>330</v>
      </c>
      <c r="D23" s="3" t="s">
        <v>449</v>
      </c>
      <c r="E23" s="24" t="s">
        <v>430</v>
      </c>
      <c r="F23" s="24" t="s">
        <v>431</v>
      </c>
      <c r="G23" s="24" t="s">
        <v>432</v>
      </c>
      <c r="H23" s="2" t="s">
        <v>329</v>
      </c>
      <c r="I23" s="2" t="s">
        <v>585</v>
      </c>
      <c r="J23" s="4" t="s">
        <v>275</v>
      </c>
    </row>
    <row r="24" spans="2:10" ht="43.2">
      <c r="B24" s="147"/>
      <c r="C24" s="178" t="s">
        <v>333</v>
      </c>
      <c r="D24" s="3" t="s">
        <v>448</v>
      </c>
      <c r="E24" s="2" t="s">
        <v>433</v>
      </c>
      <c r="F24" s="2" t="s">
        <v>435</v>
      </c>
      <c r="G24" s="2" t="s">
        <v>438</v>
      </c>
      <c r="H24" s="2" t="s">
        <v>331</v>
      </c>
      <c r="I24" s="85" t="s">
        <v>586</v>
      </c>
      <c r="J24" s="61" t="s">
        <v>275</v>
      </c>
    </row>
    <row r="25" spans="2:10" ht="43.2">
      <c r="B25" s="148"/>
      <c r="C25" s="178"/>
      <c r="D25" s="3" t="s">
        <v>447</v>
      </c>
      <c r="E25" s="2" t="s">
        <v>434</v>
      </c>
      <c r="F25" s="2" t="s">
        <v>436</v>
      </c>
      <c r="G25" s="2" t="s">
        <v>437</v>
      </c>
      <c r="H25" s="76" t="s">
        <v>332</v>
      </c>
      <c r="I25" s="76" t="s">
        <v>587</v>
      </c>
      <c r="J25" s="4" t="s">
        <v>275</v>
      </c>
    </row>
    <row r="26" spans="2:10">
      <c r="J26" s="66"/>
    </row>
  </sheetData>
  <mergeCells count="30">
    <mergeCell ref="R3:R5"/>
    <mergeCell ref="N3:N5"/>
    <mergeCell ref="L2:M2"/>
    <mergeCell ref="O3:O5"/>
    <mergeCell ref="P3:P5"/>
    <mergeCell ref="Q3:Q5"/>
    <mergeCell ref="J4:J5"/>
    <mergeCell ref="L3:M5"/>
    <mergeCell ref="E4:E5"/>
    <mergeCell ref="H4:H5"/>
    <mergeCell ref="D7:D8"/>
    <mergeCell ref="E7:E8"/>
    <mergeCell ref="F7:F8"/>
    <mergeCell ref="G7:G8"/>
    <mergeCell ref="B4:B25"/>
    <mergeCell ref="D10:D11"/>
    <mergeCell ref="D12:D13"/>
    <mergeCell ref="D15:D16"/>
    <mergeCell ref="D17:D18"/>
    <mergeCell ref="D21:D22"/>
    <mergeCell ref="D4:D5"/>
    <mergeCell ref="C10:C11"/>
    <mergeCell ref="C15:C16"/>
    <mergeCell ref="C12:C14"/>
    <mergeCell ref="C21:C22"/>
    <mergeCell ref="C24:C25"/>
    <mergeCell ref="C4:C6"/>
    <mergeCell ref="C17:C18"/>
    <mergeCell ref="C19:C20"/>
    <mergeCell ref="C7:C8"/>
  </mergeCells>
  <conditionalFormatting sqref="B3:E3">
    <cfRule type="expression" dxfId="28" priority="11">
      <formula>$A3="header"</formula>
    </cfRule>
  </conditionalFormatting>
  <conditionalFormatting sqref="B3:J3">
    <cfRule type="expression" dxfId="27" priority="5">
      <formula>$A3="header"</formula>
    </cfRule>
    <cfRule type="expression" dxfId="26" priority="6">
      <formula>$A3="blank"</formula>
    </cfRule>
  </conditionalFormatting>
  <conditionalFormatting sqref="J4 J6:J26">
    <cfRule type="cellIs" dxfId="25" priority="1" operator="equal">
      <formula>"N/A"</formula>
    </cfRule>
    <cfRule type="cellIs" dxfId="24" priority="2" operator="equal">
      <formula>"N/A"</formula>
    </cfRule>
    <cfRule type="cellIs" dxfId="23" priority="3" operator="equal">
      <formula>"No"</formula>
    </cfRule>
    <cfRule type="cellIs" dxfId="22"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T28"/>
  <sheetViews>
    <sheetView topLeftCell="G2" zoomScale="56" zoomScaleNormal="40" workbookViewId="0">
      <selection activeCell="T4" sqref="T4"/>
    </sheetView>
  </sheetViews>
  <sheetFormatPr baseColWidth="10" defaultRowHeight="14.4"/>
  <cols>
    <col min="2" max="2" width="30" customWidth="1"/>
    <col min="3" max="3" width="21.77734375" customWidth="1"/>
    <col min="4" max="4" width="19.33203125" style="48" customWidth="1"/>
    <col min="5" max="5" width="19.21875" customWidth="1"/>
    <col min="6" max="6" width="33" customWidth="1"/>
    <col min="7" max="7" width="25.109375" customWidth="1"/>
    <col min="8" max="9" width="34.21875" customWidth="1"/>
    <col min="10" max="10" width="15.21875" customWidth="1"/>
    <col min="13" max="13" width="13.33203125" customWidth="1"/>
    <col min="14" max="14" width="25.44140625" customWidth="1"/>
    <col min="15" max="15" width="28.77734375" customWidth="1"/>
    <col min="16" max="16" width="15.5546875" customWidth="1"/>
    <col min="17" max="17" width="16.77734375" customWidth="1"/>
    <col min="18" max="18" width="47.44140625" customWidth="1"/>
    <col min="19" max="19" width="25.44140625" customWidth="1"/>
    <col min="20" max="20" width="30.77734375" customWidth="1"/>
  </cols>
  <sheetData>
    <row r="1" spans="1:20" ht="15" thickBot="1"/>
    <row r="2" spans="1:20" ht="24" thickBot="1">
      <c r="A2" s="50"/>
      <c r="B2" s="50"/>
      <c r="C2" s="50"/>
      <c r="D2" s="52"/>
      <c r="E2" s="50"/>
      <c r="F2" s="50"/>
      <c r="G2" s="50"/>
      <c r="H2" s="50"/>
      <c r="I2" s="50"/>
      <c r="J2" s="50"/>
      <c r="K2" s="50"/>
      <c r="L2" s="167" t="s">
        <v>279</v>
      </c>
      <c r="M2" s="168"/>
      <c r="N2" s="117" t="s">
        <v>602</v>
      </c>
      <c r="O2" s="58" t="s">
        <v>275</v>
      </c>
      <c r="P2" s="58" t="s">
        <v>273</v>
      </c>
      <c r="Q2" s="58" t="s">
        <v>274</v>
      </c>
      <c r="R2" s="58" t="s">
        <v>521</v>
      </c>
    </row>
    <row r="3" spans="1:20" ht="33.450000000000003" customHeight="1" thickBot="1">
      <c r="A3" s="50"/>
      <c r="B3" s="6" t="s">
        <v>148</v>
      </c>
      <c r="C3" s="6" t="s">
        <v>2</v>
      </c>
      <c r="D3" s="6" t="s">
        <v>256</v>
      </c>
      <c r="E3" s="6" t="s">
        <v>257</v>
      </c>
      <c r="F3" s="6" t="s">
        <v>258</v>
      </c>
      <c r="G3" s="13" t="s">
        <v>259</v>
      </c>
      <c r="H3" s="6" t="s">
        <v>260</v>
      </c>
      <c r="I3" s="6" t="s">
        <v>524</v>
      </c>
      <c r="J3" s="6" t="s">
        <v>272</v>
      </c>
      <c r="K3" s="50"/>
      <c r="L3" s="158">
        <f>COUNTA(H4:H25)</f>
        <v>11</v>
      </c>
      <c r="M3" s="169"/>
      <c r="N3" s="182">
        <f>L3-Q3</f>
        <v>8</v>
      </c>
      <c r="O3" s="172">
        <f>COUNTIF(J4:J25,"Yes")</f>
        <v>4</v>
      </c>
      <c r="P3" s="151">
        <f>COUNTIF(J4:J25,"No")</f>
        <v>4</v>
      </c>
      <c r="Q3" s="154">
        <f>COUNTIF(J4:J25,"N/A")</f>
        <v>3</v>
      </c>
      <c r="R3" s="161">
        <f>O3/N3</f>
        <v>0.5</v>
      </c>
    </row>
    <row r="4" spans="1:20" ht="120" customHeight="1" thickBot="1">
      <c r="A4" s="50"/>
      <c r="B4" s="145" t="s">
        <v>3</v>
      </c>
      <c r="C4" s="145" t="s">
        <v>4</v>
      </c>
      <c r="D4" s="188" t="s">
        <v>343</v>
      </c>
      <c r="E4" s="8" t="s">
        <v>344</v>
      </c>
      <c r="F4" s="11" t="s">
        <v>345</v>
      </c>
      <c r="G4" s="30" t="s">
        <v>152</v>
      </c>
      <c r="H4" s="188" t="s">
        <v>346</v>
      </c>
      <c r="I4" s="189" t="s">
        <v>525</v>
      </c>
      <c r="J4" s="145" t="s">
        <v>274</v>
      </c>
      <c r="K4" s="50"/>
      <c r="L4" s="159"/>
      <c r="M4" s="170"/>
      <c r="N4" s="183"/>
      <c r="O4" s="173"/>
      <c r="P4" s="152"/>
      <c r="Q4" s="155"/>
      <c r="R4" s="162"/>
      <c r="S4" s="92" t="s">
        <v>612</v>
      </c>
      <c r="T4" s="193" t="s">
        <v>614</v>
      </c>
    </row>
    <row r="5" spans="1:20" ht="169.05" customHeight="1" thickBot="1">
      <c r="A5" s="50"/>
      <c r="B5" s="145"/>
      <c r="C5" s="145"/>
      <c r="D5" s="188"/>
      <c r="E5" s="8" t="s">
        <v>347</v>
      </c>
      <c r="F5" s="11" t="s">
        <v>348</v>
      </c>
      <c r="G5" s="30" t="s">
        <v>154</v>
      </c>
      <c r="H5" s="188"/>
      <c r="I5" s="190"/>
      <c r="J5" s="145"/>
      <c r="K5" s="50"/>
      <c r="L5" s="160"/>
      <c r="M5" s="171"/>
      <c r="N5" s="184"/>
      <c r="O5" s="174"/>
      <c r="P5" s="153"/>
      <c r="Q5" s="156"/>
      <c r="R5" s="163"/>
    </row>
    <row r="6" spans="1:20" ht="141" customHeight="1">
      <c r="A6" s="50"/>
      <c r="B6" s="145"/>
      <c r="C6" s="145"/>
      <c r="D6" s="188"/>
      <c r="E6" s="8" t="s">
        <v>349</v>
      </c>
      <c r="F6" s="11" t="s">
        <v>350</v>
      </c>
      <c r="G6" s="30" t="s">
        <v>153</v>
      </c>
      <c r="H6" s="188" t="s">
        <v>351</v>
      </c>
      <c r="I6" s="189" t="s">
        <v>526</v>
      </c>
      <c r="J6" s="145" t="s">
        <v>275</v>
      </c>
      <c r="K6" s="50"/>
      <c r="L6" s="57"/>
      <c r="M6" s="57"/>
      <c r="N6" s="57"/>
      <c r="O6" s="50"/>
    </row>
    <row r="7" spans="1:20" ht="151.94999999999999" customHeight="1">
      <c r="A7" s="50"/>
      <c r="B7" s="145"/>
      <c r="C7" s="145"/>
      <c r="D7" s="188"/>
      <c r="E7" s="27" t="s">
        <v>352</v>
      </c>
      <c r="F7" s="11" t="s">
        <v>353</v>
      </c>
      <c r="G7" s="30" t="s">
        <v>155</v>
      </c>
      <c r="H7" s="188"/>
      <c r="I7" s="190"/>
      <c r="J7" s="145"/>
      <c r="K7" s="50"/>
      <c r="L7" s="50"/>
      <c r="M7" s="50"/>
      <c r="N7" s="50"/>
      <c r="O7" s="114"/>
    </row>
    <row r="8" spans="1:20" ht="109.5" customHeight="1">
      <c r="A8" s="50"/>
      <c r="B8" s="145"/>
      <c r="C8" s="145"/>
      <c r="D8" s="149" t="s">
        <v>5</v>
      </c>
      <c r="E8" s="27" t="s">
        <v>354</v>
      </c>
      <c r="F8" s="29" t="s">
        <v>355</v>
      </c>
      <c r="G8" s="30" t="s">
        <v>156</v>
      </c>
      <c r="H8" s="149" t="s">
        <v>269</v>
      </c>
      <c r="I8" s="140" t="s">
        <v>527</v>
      </c>
      <c r="J8" s="145" t="s">
        <v>274</v>
      </c>
      <c r="K8" s="50"/>
      <c r="O8" s="115"/>
    </row>
    <row r="9" spans="1:20" ht="136.05000000000001" customHeight="1">
      <c r="A9" s="50"/>
      <c r="B9" s="145"/>
      <c r="C9" s="145"/>
      <c r="D9" s="149"/>
      <c r="E9" s="27" t="s">
        <v>356</v>
      </c>
      <c r="F9" s="29" t="s">
        <v>357</v>
      </c>
      <c r="G9" s="30" t="s">
        <v>157</v>
      </c>
      <c r="H9" s="149"/>
      <c r="I9" s="141"/>
      <c r="J9" s="145"/>
      <c r="K9" s="50"/>
    </row>
    <row r="10" spans="1:20" ht="132.44999999999999" customHeight="1">
      <c r="A10" s="50"/>
      <c r="B10" s="145"/>
      <c r="C10" s="145" t="s">
        <v>6</v>
      </c>
      <c r="D10" s="149" t="s">
        <v>358</v>
      </c>
      <c r="E10" s="27" t="s">
        <v>359</v>
      </c>
      <c r="F10" s="29" t="s">
        <v>360</v>
      </c>
      <c r="G10" s="30" t="s">
        <v>160</v>
      </c>
      <c r="H10" s="188" t="s">
        <v>528</v>
      </c>
      <c r="I10" s="189" t="s">
        <v>529</v>
      </c>
      <c r="J10" s="145" t="s">
        <v>273</v>
      </c>
      <c r="K10" s="50"/>
    </row>
    <row r="11" spans="1:20" ht="138.44999999999999" customHeight="1">
      <c r="A11" s="50"/>
      <c r="B11" s="145"/>
      <c r="C11" s="145"/>
      <c r="D11" s="149"/>
      <c r="E11" s="31" t="s">
        <v>361</v>
      </c>
      <c r="F11" s="31" t="s">
        <v>362</v>
      </c>
      <c r="G11" s="30" t="s">
        <v>163</v>
      </c>
      <c r="H11" s="188"/>
      <c r="I11" s="190"/>
      <c r="J11" s="145"/>
      <c r="K11" s="50"/>
    </row>
    <row r="12" spans="1:20" ht="121.5" customHeight="1">
      <c r="A12" s="50"/>
      <c r="B12" s="145"/>
      <c r="C12" s="145"/>
      <c r="D12" s="149" t="s">
        <v>307</v>
      </c>
      <c r="E12" s="31" t="s">
        <v>342</v>
      </c>
      <c r="F12" s="31" t="s">
        <v>363</v>
      </c>
      <c r="G12" s="30" t="s">
        <v>162</v>
      </c>
      <c r="H12" s="188" t="s">
        <v>342</v>
      </c>
      <c r="I12" s="189" t="s">
        <v>530</v>
      </c>
      <c r="J12" s="145" t="s">
        <v>274</v>
      </c>
      <c r="K12" s="50"/>
    </row>
    <row r="13" spans="1:20" ht="154.5" customHeight="1">
      <c r="A13" s="50"/>
      <c r="B13" s="145"/>
      <c r="C13" s="145"/>
      <c r="D13" s="149"/>
      <c r="E13" s="31" t="s">
        <v>364</v>
      </c>
      <c r="F13" s="31" t="s">
        <v>365</v>
      </c>
      <c r="G13" s="30" t="s">
        <v>164</v>
      </c>
      <c r="H13" s="188"/>
      <c r="I13" s="191"/>
      <c r="J13" s="145"/>
      <c r="K13" s="50"/>
    </row>
    <row r="14" spans="1:20" ht="144.44999999999999" customHeight="1">
      <c r="A14" s="50"/>
      <c r="B14" s="145"/>
      <c r="C14" s="145"/>
      <c r="D14" s="24" t="s">
        <v>18</v>
      </c>
      <c r="E14" s="31" t="s">
        <v>366</v>
      </c>
      <c r="F14" s="31" t="s">
        <v>367</v>
      </c>
      <c r="G14" s="30" t="s">
        <v>170</v>
      </c>
      <c r="H14" s="188"/>
      <c r="I14" s="190"/>
      <c r="J14" s="145"/>
      <c r="K14" s="50"/>
    </row>
    <row r="15" spans="1:20" ht="52.95" customHeight="1">
      <c r="A15" s="50"/>
      <c r="B15" s="145"/>
      <c r="C15" s="145"/>
      <c r="D15" s="145" t="s">
        <v>17</v>
      </c>
      <c r="E15" s="185" t="s">
        <v>369</v>
      </c>
      <c r="F15" s="186" t="s">
        <v>370</v>
      </c>
      <c r="G15" s="187" t="s">
        <v>169</v>
      </c>
      <c r="H15" s="24" t="s">
        <v>282</v>
      </c>
      <c r="I15" s="24" t="s">
        <v>531</v>
      </c>
      <c r="J15" s="4" t="s">
        <v>275</v>
      </c>
      <c r="K15" s="50"/>
    </row>
    <row r="16" spans="1:20" ht="91.05" customHeight="1">
      <c r="A16" s="50"/>
      <c r="B16" s="145"/>
      <c r="C16" s="145"/>
      <c r="D16" s="145"/>
      <c r="E16" s="185"/>
      <c r="F16" s="186"/>
      <c r="G16" s="187"/>
      <c r="H16" s="70" t="s">
        <v>532</v>
      </c>
      <c r="I16" s="70" t="s">
        <v>533</v>
      </c>
      <c r="J16" s="4" t="s">
        <v>275</v>
      </c>
      <c r="K16" s="50"/>
    </row>
    <row r="17" spans="1:15" ht="124.05" customHeight="1">
      <c r="A17" s="50"/>
      <c r="B17" s="145"/>
      <c r="C17" s="145"/>
      <c r="D17" s="60" t="s">
        <v>368</v>
      </c>
      <c r="E17" s="31" t="s">
        <v>28</v>
      </c>
      <c r="F17" s="31" t="s">
        <v>29</v>
      </c>
      <c r="G17" s="30" t="s">
        <v>175</v>
      </c>
      <c r="H17" s="188" t="s">
        <v>371</v>
      </c>
      <c r="I17" s="189" t="s">
        <v>534</v>
      </c>
      <c r="J17" s="145" t="s">
        <v>273</v>
      </c>
      <c r="K17" s="50"/>
    </row>
    <row r="18" spans="1:15" ht="123" customHeight="1">
      <c r="A18" s="50"/>
      <c r="B18" s="145"/>
      <c r="C18" s="145"/>
      <c r="D18" s="24" t="s">
        <v>19</v>
      </c>
      <c r="E18" s="31" t="s">
        <v>372</v>
      </c>
      <c r="F18" s="31" t="s">
        <v>373</v>
      </c>
      <c r="G18" s="30" t="s">
        <v>171</v>
      </c>
      <c r="H18" s="188"/>
      <c r="I18" s="190"/>
      <c r="J18" s="145"/>
      <c r="K18" s="50"/>
    </row>
    <row r="19" spans="1:15" ht="118.05" customHeight="1">
      <c r="A19" s="50"/>
      <c r="B19" s="145"/>
      <c r="C19" s="145"/>
      <c r="D19" s="149" t="s">
        <v>25</v>
      </c>
      <c r="E19" s="31" t="s">
        <v>374</v>
      </c>
      <c r="F19" s="31" t="s">
        <v>375</v>
      </c>
      <c r="G19" s="30" t="s">
        <v>168</v>
      </c>
      <c r="H19" s="192" t="s">
        <v>376</v>
      </c>
      <c r="I19" s="189" t="s">
        <v>535</v>
      </c>
      <c r="J19" s="145" t="s">
        <v>275</v>
      </c>
      <c r="K19" s="50"/>
      <c r="M19" s="47"/>
      <c r="N19" s="47"/>
    </row>
    <row r="20" spans="1:15" ht="123" customHeight="1">
      <c r="A20" s="50"/>
      <c r="B20" s="145"/>
      <c r="C20" s="145"/>
      <c r="D20" s="149"/>
      <c r="E20" s="31" t="s">
        <v>30</v>
      </c>
      <c r="F20" s="31" t="s">
        <v>31</v>
      </c>
      <c r="G20" s="30" t="s">
        <v>176</v>
      </c>
      <c r="H20" s="192"/>
      <c r="I20" s="191"/>
      <c r="J20" s="145"/>
      <c r="K20" s="51"/>
      <c r="L20" s="45"/>
      <c r="M20" s="45"/>
      <c r="N20" s="45"/>
      <c r="O20" s="46"/>
    </row>
    <row r="21" spans="1:15" ht="106.05" customHeight="1">
      <c r="A21" s="50"/>
      <c r="B21" s="145"/>
      <c r="C21" s="145"/>
      <c r="D21" s="149"/>
      <c r="E21" s="31" t="s">
        <v>26</v>
      </c>
      <c r="F21" s="31" t="s">
        <v>27</v>
      </c>
      <c r="G21" s="30" t="s">
        <v>174</v>
      </c>
      <c r="H21" s="192"/>
      <c r="I21" s="190"/>
      <c r="J21" s="145"/>
      <c r="K21" s="50"/>
    </row>
    <row r="22" spans="1:15" ht="78" customHeight="1">
      <c r="A22" s="50"/>
      <c r="B22" s="145"/>
      <c r="C22" s="145" t="s">
        <v>24</v>
      </c>
      <c r="D22" s="145" t="s">
        <v>32</v>
      </c>
      <c r="E22" s="185" t="s">
        <v>33</v>
      </c>
      <c r="F22" s="186" t="s">
        <v>34</v>
      </c>
      <c r="G22" s="30" t="s">
        <v>177</v>
      </c>
      <c r="H22" s="188" t="s">
        <v>341</v>
      </c>
      <c r="I22" s="189" t="s">
        <v>536</v>
      </c>
      <c r="J22" s="145" t="s">
        <v>273</v>
      </c>
      <c r="K22" s="50"/>
    </row>
    <row r="23" spans="1:15" ht="72">
      <c r="A23" s="50"/>
      <c r="B23" s="145"/>
      <c r="C23" s="145"/>
      <c r="D23" s="145"/>
      <c r="E23" s="185"/>
      <c r="F23" s="186"/>
      <c r="G23" s="30" t="s">
        <v>158</v>
      </c>
      <c r="H23" s="188"/>
      <c r="I23" s="191"/>
      <c r="J23" s="145"/>
      <c r="K23" s="50"/>
    </row>
    <row r="24" spans="1:15" ht="72">
      <c r="A24" s="50"/>
      <c r="B24" s="145"/>
      <c r="C24" s="145"/>
      <c r="D24" s="24" t="s">
        <v>12</v>
      </c>
      <c r="E24" s="31" t="s">
        <v>523</v>
      </c>
      <c r="F24" s="31" t="s">
        <v>340</v>
      </c>
      <c r="G24" s="30" t="s">
        <v>166</v>
      </c>
      <c r="H24" s="188"/>
      <c r="I24" s="190"/>
      <c r="J24" s="145"/>
      <c r="K24" s="50"/>
    </row>
    <row r="25" spans="1:15" ht="100.8">
      <c r="A25" s="50"/>
      <c r="B25" s="145"/>
      <c r="C25" s="145"/>
      <c r="D25" s="2" t="s">
        <v>17</v>
      </c>
      <c r="E25" s="42" t="s">
        <v>337</v>
      </c>
      <c r="F25" s="42" t="s">
        <v>338</v>
      </c>
      <c r="G25" s="42" t="s">
        <v>339</v>
      </c>
      <c r="H25" s="42" t="s">
        <v>281</v>
      </c>
      <c r="I25" s="2" t="s">
        <v>537</v>
      </c>
      <c r="J25" s="4" t="s">
        <v>273</v>
      </c>
      <c r="K25" s="50"/>
    </row>
    <row r="26" spans="1:15">
      <c r="A26" s="50"/>
      <c r="B26" s="49"/>
      <c r="D26" s="49"/>
      <c r="K26" s="50"/>
    </row>
    <row r="27" spans="1:15">
      <c r="A27" s="50"/>
      <c r="B27" s="49"/>
    </row>
    <row r="28" spans="1:15">
      <c r="B28" s="49"/>
    </row>
  </sheetData>
  <mergeCells count="47">
    <mergeCell ref="O3:O5"/>
    <mergeCell ref="N3:N5"/>
    <mergeCell ref="R3:R5"/>
    <mergeCell ref="I8:I9"/>
    <mergeCell ref="I10:I11"/>
    <mergeCell ref="C4:C9"/>
    <mergeCell ref="H19:H21"/>
    <mergeCell ref="H22:H24"/>
    <mergeCell ref="D19:D21"/>
    <mergeCell ref="F22:F23"/>
    <mergeCell ref="C10:C21"/>
    <mergeCell ref="D4:D7"/>
    <mergeCell ref="D8:D9"/>
    <mergeCell ref="J19:J21"/>
    <mergeCell ref="J22:J24"/>
    <mergeCell ref="D10:D11"/>
    <mergeCell ref="H10:H11"/>
    <mergeCell ref="D12:D13"/>
    <mergeCell ref="H12:H14"/>
    <mergeCell ref="I12:I14"/>
    <mergeCell ref="I22:I24"/>
    <mergeCell ref="I19:I21"/>
    <mergeCell ref="I17:I18"/>
    <mergeCell ref="L2:M2"/>
    <mergeCell ref="L3:M5"/>
    <mergeCell ref="H6:H7"/>
    <mergeCell ref="H4:H5"/>
    <mergeCell ref="J4:J5"/>
    <mergeCell ref="J6:J7"/>
    <mergeCell ref="I4:I5"/>
    <mergeCell ref="I6:I7"/>
    <mergeCell ref="B4:B25"/>
    <mergeCell ref="C22:C25"/>
    <mergeCell ref="P3:P5"/>
    <mergeCell ref="Q3:Q5"/>
    <mergeCell ref="D15:D16"/>
    <mergeCell ref="E15:E16"/>
    <mergeCell ref="F15:F16"/>
    <mergeCell ref="G15:G16"/>
    <mergeCell ref="E22:E23"/>
    <mergeCell ref="D22:D23"/>
    <mergeCell ref="H8:H9"/>
    <mergeCell ref="H17:H18"/>
    <mergeCell ref="J8:J9"/>
    <mergeCell ref="J10:J11"/>
    <mergeCell ref="J12:J14"/>
    <mergeCell ref="J17:J18"/>
  </mergeCells>
  <conditionalFormatting sqref="B3:D3 E3:E4">
    <cfRule type="expression" dxfId="21" priority="11">
      <formula>$A3="header"</formula>
    </cfRule>
  </conditionalFormatting>
  <conditionalFormatting sqref="B3:J3">
    <cfRule type="expression" dxfId="20" priority="5">
      <formula>$A3="header"</formula>
    </cfRule>
    <cfRule type="expression" dxfId="19" priority="6">
      <formula>$A3="blank"</formula>
    </cfRule>
  </conditionalFormatting>
  <conditionalFormatting sqref="E5">
    <cfRule type="expression" dxfId="18" priority="18">
      <formula>$A6="header"</formula>
    </cfRule>
    <cfRule type="expression" dxfId="17" priority="19">
      <formula>$A6="header"</formula>
    </cfRule>
    <cfRule type="expression" dxfId="16" priority="20">
      <formula>$A6="blank"</formula>
    </cfRule>
  </conditionalFormatting>
  <conditionalFormatting sqref="E6">
    <cfRule type="expression" dxfId="15" priority="13">
      <formula>$A5="header"</formula>
    </cfRule>
    <cfRule type="expression" dxfId="14" priority="16">
      <formula>$A5="header"</formula>
    </cfRule>
    <cfRule type="expression" dxfId="13" priority="17">
      <formula>$A5="blank"</formula>
    </cfRule>
  </conditionalFormatting>
  <conditionalFormatting sqref="E4:F4">
    <cfRule type="expression" dxfId="12" priority="9">
      <formula>$A4="header"</formula>
    </cfRule>
    <cfRule type="expression" dxfId="11" priority="10">
      <formula>$A4="blank"</formula>
    </cfRule>
  </conditionalFormatting>
  <conditionalFormatting sqref="J4 J6 J8 J10 J12 J15:J17 J19 J22 J25">
    <cfRule type="cellIs" dxfId="10" priority="1" operator="equal">
      <formula>"N/A"</formula>
    </cfRule>
    <cfRule type="cellIs" dxfId="9" priority="2" operator="equal">
      <formula>"N/A"</formula>
    </cfRule>
    <cfRule type="cellIs" dxfId="8" priority="3" operator="equal">
      <formula>"No"</formula>
    </cfRule>
    <cfRule type="cellIs" dxfId="7" priority="4" operator="equal">
      <formula>"Yes"</formula>
    </cfRule>
  </conditionalFormatting>
  <dataValidations count="2">
    <dataValidation type="list" allowBlank="1" showInputMessage="1" showErrorMessage="1" sqref="J4 J6 J8 J10 J12 J15:J17 J19 J22 J25">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T12"/>
  <sheetViews>
    <sheetView topLeftCell="I1" zoomScale="73" zoomScaleNormal="50" workbookViewId="0">
      <selection activeCell="O6" sqref="O6"/>
    </sheetView>
  </sheetViews>
  <sheetFormatPr baseColWidth="10" defaultRowHeight="14.4"/>
  <cols>
    <col min="2" max="2" width="24" customWidth="1"/>
    <col min="3" max="3" width="19.33203125" customWidth="1"/>
    <col min="4" max="4" width="25.109375" customWidth="1"/>
    <col min="5" max="5" width="22.6640625" customWidth="1"/>
    <col min="6" max="6" width="25.44140625" customWidth="1"/>
    <col min="7" max="7" width="27.6640625" customWidth="1"/>
    <col min="8" max="9" width="38.44140625" customWidth="1"/>
    <col min="10" max="10" width="17.21875" customWidth="1"/>
    <col min="12" max="12" width="11.77734375" customWidth="1"/>
    <col min="13" max="13" width="11.5546875" hidden="1" customWidth="1"/>
    <col min="14" max="14" width="17.33203125" customWidth="1"/>
    <col min="15" max="15" width="29.33203125" customWidth="1"/>
    <col min="16" max="16" width="18.33203125" customWidth="1"/>
    <col min="17" max="17" width="18.6640625" customWidth="1"/>
    <col min="18" max="18" width="20.21875" customWidth="1"/>
    <col min="19" max="19" width="19.88671875" customWidth="1"/>
    <col min="20" max="20" width="42.21875" customWidth="1"/>
  </cols>
  <sheetData>
    <row r="1" spans="1:20" ht="15" thickBot="1"/>
    <row r="2" spans="1:20" ht="24" thickBot="1">
      <c r="A2" s="50"/>
      <c r="B2" s="50"/>
      <c r="C2" s="50"/>
      <c r="D2" s="50"/>
      <c r="E2" s="50"/>
      <c r="F2" s="50"/>
      <c r="G2" s="50"/>
      <c r="H2" s="50"/>
      <c r="I2" s="50"/>
      <c r="J2" s="50"/>
      <c r="K2" s="50"/>
      <c r="L2" s="50"/>
      <c r="M2" s="50"/>
      <c r="N2" s="167" t="s">
        <v>279</v>
      </c>
      <c r="O2" s="168"/>
      <c r="P2" s="117" t="s">
        <v>602</v>
      </c>
      <c r="Q2" s="58" t="s">
        <v>275</v>
      </c>
      <c r="R2" s="58" t="s">
        <v>273</v>
      </c>
      <c r="S2" s="58" t="s">
        <v>274</v>
      </c>
      <c r="T2" s="58" t="s">
        <v>521</v>
      </c>
    </row>
    <row r="3" spans="1:20" ht="14.55" customHeight="1">
      <c r="A3" s="50"/>
      <c r="B3" s="6" t="s">
        <v>148</v>
      </c>
      <c r="C3" s="6" t="s">
        <v>2</v>
      </c>
      <c r="D3" s="6" t="s">
        <v>256</v>
      </c>
      <c r="E3" s="6" t="s">
        <v>257</v>
      </c>
      <c r="F3" s="6" t="s">
        <v>258</v>
      </c>
      <c r="G3" s="13" t="s">
        <v>259</v>
      </c>
      <c r="H3" s="6" t="s">
        <v>260</v>
      </c>
      <c r="I3" s="6" t="s">
        <v>522</v>
      </c>
      <c r="J3" s="6" t="s">
        <v>272</v>
      </c>
      <c r="K3" s="6"/>
      <c r="L3" s="50"/>
      <c r="M3" s="50"/>
      <c r="N3" s="158">
        <f>COUNTA(H4:H13)</f>
        <v>4</v>
      </c>
      <c r="O3" s="169"/>
      <c r="P3" s="182">
        <f>N3-S3</f>
        <v>3</v>
      </c>
      <c r="Q3" s="172">
        <f>COUNTIF(J4:J10,"Yes")</f>
        <v>2</v>
      </c>
      <c r="R3" s="151">
        <f>COUNTIF(J4:J10,"No")</f>
        <v>0</v>
      </c>
      <c r="S3" s="154">
        <f>COUNTIF(J4:J10,"N/A")</f>
        <v>1</v>
      </c>
      <c r="T3" s="172">
        <f>Q3/P3</f>
        <v>0.66666666666666663</v>
      </c>
    </row>
    <row r="4" spans="1:20" ht="78" customHeight="1">
      <c r="A4" s="50"/>
      <c r="B4" s="145" t="s">
        <v>132</v>
      </c>
      <c r="C4" s="145" t="s">
        <v>215</v>
      </c>
      <c r="D4" s="145" t="s">
        <v>102</v>
      </c>
      <c r="E4" s="12" t="s">
        <v>105</v>
      </c>
      <c r="F4" s="12" t="s">
        <v>221</v>
      </c>
      <c r="G4" s="10" t="s">
        <v>200</v>
      </c>
      <c r="H4" s="149" t="s">
        <v>268</v>
      </c>
      <c r="I4" s="24" t="s">
        <v>544</v>
      </c>
      <c r="J4" s="145" t="s">
        <v>275</v>
      </c>
      <c r="K4" s="50"/>
      <c r="L4" s="50"/>
      <c r="M4" s="50"/>
      <c r="N4" s="159"/>
      <c r="O4" s="170"/>
      <c r="P4" s="183"/>
      <c r="Q4" s="173"/>
      <c r="R4" s="152"/>
      <c r="S4" s="155"/>
      <c r="T4" s="173"/>
    </row>
    <row r="5" spans="1:20" ht="82.95" customHeight="1" thickBot="1">
      <c r="A5" s="50"/>
      <c r="B5" s="145"/>
      <c r="C5" s="145"/>
      <c r="D5" s="145"/>
      <c r="E5" s="12" t="s">
        <v>107</v>
      </c>
      <c r="F5" s="12" t="s">
        <v>222</v>
      </c>
      <c r="G5" s="10" t="s">
        <v>201</v>
      </c>
      <c r="H5" s="149"/>
      <c r="I5" s="24" t="s">
        <v>545</v>
      </c>
      <c r="J5" s="145"/>
      <c r="K5" s="50"/>
      <c r="L5" s="50"/>
      <c r="M5" s="50"/>
      <c r="N5" s="160"/>
      <c r="O5" s="171"/>
      <c r="P5" s="184"/>
      <c r="Q5" s="174"/>
      <c r="R5" s="153"/>
      <c r="S5" s="156"/>
      <c r="T5" s="174"/>
    </row>
    <row r="6" spans="1:20" ht="88.5" customHeight="1" thickBot="1">
      <c r="A6" s="50"/>
      <c r="B6" s="145"/>
      <c r="C6" s="145"/>
      <c r="D6" s="145" t="s">
        <v>106</v>
      </c>
      <c r="E6" s="12" t="s">
        <v>108</v>
      </c>
      <c r="F6" s="12" t="s">
        <v>223</v>
      </c>
      <c r="G6" s="10" t="s">
        <v>202</v>
      </c>
      <c r="H6" s="143" t="s">
        <v>267</v>
      </c>
      <c r="I6" s="24" t="s">
        <v>538</v>
      </c>
      <c r="J6" s="145" t="s">
        <v>275</v>
      </c>
      <c r="K6" s="50"/>
      <c r="L6" s="50"/>
      <c r="M6" s="50"/>
      <c r="N6" s="92" t="s">
        <v>612</v>
      </c>
      <c r="O6" s="193" t="s">
        <v>613</v>
      </c>
      <c r="P6" s="57"/>
    </row>
    <row r="7" spans="1:20" ht="76.5" customHeight="1">
      <c r="A7" s="50"/>
      <c r="B7" s="145"/>
      <c r="C7" s="145"/>
      <c r="D7" s="145"/>
      <c r="E7" s="12" t="s">
        <v>109</v>
      </c>
      <c r="F7" s="12" t="s">
        <v>224</v>
      </c>
      <c r="G7" s="10" t="s">
        <v>203</v>
      </c>
      <c r="H7" s="144"/>
      <c r="I7" s="24" t="s">
        <v>539</v>
      </c>
      <c r="J7" s="145"/>
      <c r="K7" s="50"/>
      <c r="L7" s="50"/>
      <c r="M7" s="50"/>
      <c r="N7" s="50"/>
      <c r="O7" s="50"/>
      <c r="P7" s="50"/>
      <c r="Q7" s="114"/>
    </row>
    <row r="8" spans="1:20" ht="98.55" customHeight="1">
      <c r="A8" s="50"/>
      <c r="B8" s="145"/>
      <c r="C8" s="145"/>
      <c r="D8" s="145" t="s">
        <v>110</v>
      </c>
      <c r="E8" s="12" t="s">
        <v>111</v>
      </c>
      <c r="F8" s="12" t="s">
        <v>225</v>
      </c>
      <c r="G8" s="10" t="s">
        <v>204</v>
      </c>
      <c r="H8" s="149" t="s">
        <v>266</v>
      </c>
      <c r="I8" s="24" t="s">
        <v>540</v>
      </c>
      <c r="J8" s="140" t="s">
        <v>274</v>
      </c>
      <c r="K8" s="50"/>
      <c r="L8" s="50"/>
      <c r="M8" s="50"/>
      <c r="Q8" s="118"/>
    </row>
    <row r="9" spans="1:20" ht="75.45" customHeight="1">
      <c r="A9" s="50"/>
      <c r="B9" s="145"/>
      <c r="C9" s="145"/>
      <c r="D9" s="145"/>
      <c r="E9" s="12" t="s">
        <v>112</v>
      </c>
      <c r="F9" s="12" t="s">
        <v>226</v>
      </c>
      <c r="G9" s="10" t="s">
        <v>205</v>
      </c>
      <c r="H9" s="149"/>
      <c r="I9" s="24" t="s">
        <v>541</v>
      </c>
      <c r="J9" s="142"/>
      <c r="K9" s="50"/>
      <c r="L9" s="50"/>
      <c r="M9" s="50"/>
      <c r="Q9" s="80"/>
    </row>
    <row r="10" spans="1:20" ht="109.95" customHeight="1">
      <c r="A10" s="50"/>
      <c r="B10" s="145"/>
      <c r="C10" s="145"/>
      <c r="D10" s="145"/>
      <c r="E10" s="180" t="s">
        <v>113</v>
      </c>
      <c r="F10" s="180" t="s">
        <v>227</v>
      </c>
      <c r="G10" s="181" t="s">
        <v>206</v>
      </c>
      <c r="H10" s="149"/>
      <c r="I10" s="24" t="s">
        <v>542</v>
      </c>
      <c r="J10" s="141"/>
      <c r="K10" s="50"/>
      <c r="L10" s="50"/>
      <c r="M10" s="50"/>
      <c r="Q10" s="80"/>
    </row>
    <row r="11" spans="1:20" ht="63" customHeight="1">
      <c r="A11" s="50"/>
      <c r="B11" s="145"/>
      <c r="C11" s="145"/>
      <c r="D11" s="145"/>
      <c r="E11" s="180"/>
      <c r="F11" s="180"/>
      <c r="G11" s="181"/>
      <c r="H11" s="2" t="s">
        <v>280</v>
      </c>
      <c r="I11" s="24" t="s">
        <v>543</v>
      </c>
      <c r="J11" s="4" t="s">
        <v>273</v>
      </c>
      <c r="K11" s="50"/>
      <c r="L11" s="50"/>
      <c r="M11" s="50"/>
    </row>
    <row r="12" spans="1:20">
      <c r="A12" s="50"/>
      <c r="K12" s="50"/>
      <c r="L12" s="50"/>
      <c r="M12" s="50"/>
    </row>
  </sheetData>
  <mergeCells count="21">
    <mergeCell ref="T3:T5"/>
    <mergeCell ref="H8:H10"/>
    <mergeCell ref="H4:H5"/>
    <mergeCell ref="H6:H7"/>
    <mergeCell ref="S3:S5"/>
    <mergeCell ref="J6:J7"/>
    <mergeCell ref="J8:J10"/>
    <mergeCell ref="Q3:Q5"/>
    <mergeCell ref="R3:R5"/>
    <mergeCell ref="B4:B11"/>
    <mergeCell ref="D6:D7"/>
    <mergeCell ref="E10:E11"/>
    <mergeCell ref="D8:D11"/>
    <mergeCell ref="C4:C11"/>
    <mergeCell ref="D4:D5"/>
    <mergeCell ref="G10:G11"/>
    <mergeCell ref="F10:F11"/>
    <mergeCell ref="P3:P5"/>
    <mergeCell ref="N2:O2"/>
    <mergeCell ref="N3:O5"/>
    <mergeCell ref="J4:J5"/>
  </mergeCells>
  <conditionalFormatting sqref="B3:E3">
    <cfRule type="expression" dxfId="6" priority="9">
      <formula>$A3="header"</formula>
    </cfRule>
  </conditionalFormatting>
  <conditionalFormatting sqref="B3:K3">
    <cfRule type="expression" dxfId="5" priority="5">
      <formula>$A3="header"</formula>
    </cfRule>
    <cfRule type="expression" dxfId="4" priority="6">
      <formula>$A3="blank"</formula>
    </cfRule>
  </conditionalFormatting>
  <conditionalFormatting sqref="J4 J6 J8 J11">
    <cfRule type="cellIs" dxfId="3" priority="1" operator="equal">
      <formula>"N/A"</formula>
    </cfRule>
    <cfRule type="cellIs" dxfId="2" priority="2" operator="equal">
      <formula>"N/A"</formula>
    </cfRule>
    <cfRule type="cellIs" dxfId="1" priority="3" operator="equal">
      <formula>"No"</formula>
    </cfRule>
    <cfRule type="cellIs" dxfId="0"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I17"/>
  <sheetViews>
    <sheetView tabSelected="1" workbookViewId="0">
      <selection activeCell="I7" sqref="I7"/>
    </sheetView>
  </sheetViews>
  <sheetFormatPr baseColWidth="10" defaultRowHeight="14.4"/>
  <cols>
    <col min="1" max="1" width="18.109375" customWidth="1"/>
    <col min="2" max="2" width="15.5546875" customWidth="1"/>
    <col min="3" max="3" width="17.33203125" customWidth="1"/>
    <col min="7" max="7" width="13.21875" customWidth="1"/>
  </cols>
  <sheetData>
    <row r="1" spans="1:9">
      <c r="A1" s="120" t="s">
        <v>148</v>
      </c>
      <c r="B1" s="120" t="s">
        <v>609</v>
      </c>
      <c r="C1" s="120" t="s">
        <v>610</v>
      </c>
      <c r="D1" s="120" t="s">
        <v>275</v>
      </c>
      <c r="E1" s="120" t="s">
        <v>273</v>
      </c>
      <c r="F1" s="120" t="s">
        <v>274</v>
      </c>
      <c r="G1" s="120" t="s">
        <v>611</v>
      </c>
      <c r="H1" s="120" t="s">
        <v>603</v>
      </c>
      <c r="I1" s="120" t="s">
        <v>612</v>
      </c>
    </row>
    <row r="2" spans="1:9" ht="14.55" customHeight="1">
      <c r="A2" s="120" t="s">
        <v>595</v>
      </c>
      <c r="B2" s="111">
        <f>'Questionnaire Domain Forensics'!$N$3</f>
        <v>4</v>
      </c>
      <c r="C2" s="111">
        <f>'Questionnaire Domain Forensics'!$P$3</f>
        <v>3</v>
      </c>
      <c r="D2" s="111">
        <f>'Questionnaire Domain Forensics'!$Q$3</f>
        <v>2</v>
      </c>
      <c r="E2" s="111">
        <f>'Questionnaire Domain Forensics'!$R$3</f>
        <v>0</v>
      </c>
      <c r="F2" s="111">
        <f>'Questionnaire Domain Forensics'!$S$3</f>
        <v>1</v>
      </c>
      <c r="G2" s="122">
        <f>'Questionnaire Domain Forensics'!$T$3</f>
        <v>0.66666666666666663</v>
      </c>
      <c r="H2" s="125">
        <f>PONDERATION!$L$20</f>
        <v>6</v>
      </c>
      <c r="I2" s="194" t="str">
        <f>'Questionnaire Domain Forensics'!$O$6</f>
        <v>Oumayma</v>
      </c>
    </row>
    <row r="3" spans="1:9" ht="14.55" customHeight="1">
      <c r="A3" s="120" t="s">
        <v>596</v>
      </c>
      <c r="B3" s="111">
        <f>'Question Continuité d’activité'!$L$3</f>
        <v>11</v>
      </c>
      <c r="C3" s="111">
        <f>'Question Continuité d’activité'!$N$3</f>
        <v>8</v>
      </c>
      <c r="D3" s="111">
        <f>'Question Continuité d’activité'!$O$3</f>
        <v>4</v>
      </c>
      <c r="E3" s="111">
        <f>'Question Continuité d’activité'!$P$3</f>
        <v>4</v>
      </c>
      <c r="F3" s="111">
        <f>'Question Continuité d’activité'!$Q$3</f>
        <v>3</v>
      </c>
      <c r="G3" s="122">
        <f>'Question Continuité d’activité'!$R$3</f>
        <v>0.5</v>
      </c>
      <c r="H3" s="125">
        <f>PONDERATION!$L$19</f>
        <v>23</v>
      </c>
      <c r="I3" s="194" t="str">
        <f>'Question Continuité d’activité'!$T$4</f>
        <v>Dhia</v>
      </c>
    </row>
    <row r="4" spans="1:9" ht="14.55" customHeight="1">
      <c r="A4" s="120" t="s">
        <v>597</v>
      </c>
      <c r="B4" s="111">
        <f>'Questionnaire Gestion de crise'!$L$3</f>
        <v>21</v>
      </c>
      <c r="C4" s="111">
        <f>'Questionnaire Gestion de crise'!$N$3</f>
        <v>20</v>
      </c>
      <c r="D4" s="111">
        <f>'Questionnaire Gestion de crise'!$O$3</f>
        <v>16</v>
      </c>
      <c r="E4" s="111">
        <f>'Questionnaire Gestion de crise'!$P$3</f>
        <v>0</v>
      </c>
      <c r="F4" s="111">
        <f>'Questionnaire Gestion de crise'!$Q$3</f>
        <v>1</v>
      </c>
      <c r="G4" s="122">
        <f>'Questionnaire Gestion de crise'!$R$3</f>
        <v>0.8</v>
      </c>
      <c r="H4" s="125">
        <f>PONDERATION!$L$18</f>
        <v>20</v>
      </c>
      <c r="I4" s="194" t="str">
        <f>'Questionnaire Gestion de crise'!$M$7</f>
        <v>Oumayma</v>
      </c>
    </row>
    <row r="5" spans="1:9" ht="14.55" customHeight="1">
      <c r="A5" s="120" t="s">
        <v>598</v>
      </c>
      <c r="B5" s="123">
        <f>'Questionnaire Gestion Incidents'!$P$2</f>
        <v>17</v>
      </c>
      <c r="C5" s="111">
        <f>'Questionnaire Gestion Incidents'!$R$2</f>
        <v>16</v>
      </c>
      <c r="D5" s="123">
        <f>'Questionnaire Gestion Incidents'!$N$2</f>
        <v>14</v>
      </c>
      <c r="E5" s="123">
        <f>'Questionnaire Gestion Incidents'!$N$3</f>
        <v>2</v>
      </c>
      <c r="F5" s="123">
        <f>'Questionnaire Gestion Incidents'!$N$4</f>
        <v>1</v>
      </c>
      <c r="G5" s="122">
        <f>'Questionnaire Gestion Incidents'!$L$2</f>
        <v>0.875</v>
      </c>
      <c r="H5" s="125">
        <f>PONDERATION!$L$17</f>
        <v>18.5</v>
      </c>
      <c r="I5" s="194" t="str">
        <f>'Questionnaire Gestion Incidents'!$N$5</f>
        <v>Oumayma</v>
      </c>
    </row>
    <row r="6" spans="1:9" ht="14.55" customHeight="1">
      <c r="A6" s="120" t="s">
        <v>599</v>
      </c>
      <c r="B6" s="111">
        <f>'Questionnaire Confirmitee'!$L$3</f>
        <v>4</v>
      </c>
      <c r="C6" s="111">
        <f>'Questionnaire Confirmitee'!$Q$3</f>
        <v>3</v>
      </c>
      <c r="D6" s="111">
        <f>'Questionnaire Confirmitee'!$N$3</f>
        <v>2</v>
      </c>
      <c r="E6" s="111">
        <f>'Questionnaire Confirmitee'!$O$3</f>
        <v>1</v>
      </c>
      <c r="F6" s="111">
        <f>'Questionnaire Confirmitee'!$P$3</f>
        <v>1</v>
      </c>
      <c r="G6" s="122">
        <f>'Questionnaire Confirmitee'!$R$3</f>
        <v>0.66666666666666663</v>
      </c>
      <c r="H6" s="125">
        <f>PONDERATION!$L$21</f>
        <v>6</v>
      </c>
      <c r="I6" s="194" t="str">
        <f>'Questionnaire Confirmitee'!$M$7</f>
        <v>Oumayma</v>
      </c>
    </row>
    <row r="7" spans="1:9" ht="14.55" customHeight="1">
      <c r="A7" s="120" t="s">
        <v>594</v>
      </c>
      <c r="B7" s="123">
        <f>'Questionnaire Gouvernance '!$Q$2</f>
        <v>35</v>
      </c>
      <c r="C7" s="123">
        <f>'Questionnaire Gouvernance '!$S$2</f>
        <v>32</v>
      </c>
      <c r="D7" s="123">
        <f>'Questionnaire Gouvernance '!$O$2</f>
        <v>20</v>
      </c>
      <c r="E7" s="123">
        <f>'Questionnaire Gouvernance '!$O$3</f>
        <v>12</v>
      </c>
      <c r="F7" s="123">
        <f>'Questionnaire Gouvernance '!$O$4</f>
        <v>3</v>
      </c>
      <c r="G7" s="122">
        <f>'Questionnaire Gouvernance '!$L$2</f>
        <v>0.625</v>
      </c>
      <c r="H7" s="125">
        <f>PONDERATION!$L$16</f>
        <v>26.5</v>
      </c>
      <c r="I7" s="194" t="str">
        <f>'Questionnaire Gouvernance '!$U$2</f>
        <v>Dhia</v>
      </c>
    </row>
    <row r="8" spans="1:9" ht="15" customHeight="1">
      <c r="F8" s="120" t="s">
        <v>600</v>
      </c>
      <c r="G8" s="18">
        <f>G2*H2+G3*H3+G4*H4+G5*H5+G6*H6+G7*H7</f>
        <v>68.25</v>
      </c>
    </row>
    <row r="10" spans="1:9">
      <c r="A10" s="47"/>
      <c r="B10" s="47"/>
      <c r="C10" s="47"/>
      <c r="D10" s="47"/>
      <c r="E10" s="47"/>
      <c r="F10" s="47"/>
    </row>
    <row r="11" spans="1:9" ht="21">
      <c r="A11" s="113" t="s">
        <v>604</v>
      </c>
      <c r="B11" s="113" t="s">
        <v>608</v>
      </c>
      <c r="C11" s="113" t="s">
        <v>605</v>
      </c>
      <c r="D11" s="113" t="s">
        <v>606</v>
      </c>
      <c r="E11" s="113" t="s">
        <v>607</v>
      </c>
      <c r="F11" s="119"/>
    </row>
    <row r="12" spans="1:9">
      <c r="A12" s="121">
        <v>1</v>
      </c>
      <c r="B12" s="42" t="s">
        <v>378</v>
      </c>
      <c r="C12" s="112">
        <v>0</v>
      </c>
      <c r="D12" s="112">
        <v>16</v>
      </c>
      <c r="E12" s="112">
        <v>1</v>
      </c>
    </row>
    <row r="13" spans="1:9">
      <c r="A13" s="121">
        <v>2</v>
      </c>
      <c r="B13" s="42" t="s">
        <v>379</v>
      </c>
      <c r="C13" s="112">
        <v>17</v>
      </c>
      <c r="D13" s="112">
        <v>33</v>
      </c>
      <c r="E13" s="112">
        <v>2</v>
      </c>
    </row>
    <row r="14" spans="1:9">
      <c r="A14" s="121">
        <v>3</v>
      </c>
      <c r="B14" s="42" t="s">
        <v>380</v>
      </c>
      <c r="C14" s="112">
        <v>34</v>
      </c>
      <c r="D14" s="112">
        <v>51</v>
      </c>
      <c r="E14" s="112">
        <v>3</v>
      </c>
    </row>
    <row r="15" spans="1:9">
      <c r="A15" s="121">
        <v>4</v>
      </c>
      <c r="B15" s="42" t="s">
        <v>381</v>
      </c>
      <c r="C15" s="112">
        <v>52</v>
      </c>
      <c r="D15" s="112">
        <v>68</v>
      </c>
      <c r="E15" s="112">
        <v>4</v>
      </c>
    </row>
    <row r="16" spans="1:9">
      <c r="A16" s="121">
        <v>5</v>
      </c>
      <c r="B16" s="42" t="s">
        <v>382</v>
      </c>
      <c r="C16" s="112">
        <v>69</v>
      </c>
      <c r="D16" s="112">
        <v>85</v>
      </c>
      <c r="E16" s="112">
        <v>5</v>
      </c>
    </row>
    <row r="17" spans="1:5">
      <c r="A17" s="121">
        <v>6</v>
      </c>
      <c r="B17" s="42" t="s">
        <v>383</v>
      </c>
      <c r="C17" s="112">
        <v>86</v>
      </c>
      <c r="D17" s="112">
        <v>100</v>
      </c>
      <c r="E17" s="112">
        <v>6</v>
      </c>
    </row>
  </sheetData>
  <pageMargins left="0.7" right="0.7" top="0.75" bottom="0.75" header="0.3" footer="0.3"/>
  <pageSetup paperSize="9" orientation="portrait" horizontalDpi="0" verticalDpi="0"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Bouali, Dhia</dc:creator>
  <cp:keywords/>
  <dc:description/>
  <cp:lastModifiedBy>Adm Network Security</cp:lastModifiedBy>
  <cp:revision/>
  <dcterms:created xsi:type="dcterms:W3CDTF">2015-06-05T18:17:20Z</dcterms:created>
  <dcterms:modified xsi:type="dcterms:W3CDTF">2026-05-11T13:00:48Z</dcterms:modified>
  <cp:category>KPMG Public</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