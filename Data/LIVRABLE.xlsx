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6" rupBuild="4505"/>
  <workbookPr/>
  <bookViews>
    <workbookView xWindow="-108" yWindow="-108" windowWidth="19416" windowHeight="10296" tabRatio="876" firstSheet="2" activeTab="7"/>
  </bookViews>
  <sheets>
    <sheet name="PONDERATION" sheetId="10" r:id="rId1"/>
    <sheet name="Questionnaire Gestion Incidents" sheetId="16" r:id="rId2"/>
    <sheet name="Questionnaire Confirmitee" sheetId="18" r:id="rId3"/>
    <sheet name="Questionnaire Gouvernance " sheetId="23" r:id="rId4"/>
    <sheet name="Questionnaire Gestion de crise" sheetId="14" r:id="rId5"/>
    <sheet name="Question Continuité d’activité" sheetId="12" r:id="rId6"/>
    <sheet name="Questionnaire Domain Forensics" sheetId="11" r:id="rId7"/>
    <sheet name="FinalResult" sheetId="24" r:id="rId8"/>
  </sheets>
  <calcPr calcId="124519"/>
  <extLst xmlns:x15="http://schemas.microsoft.com/office/spreadsheetml/2010/11/main">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 i="24"/>
  <c r="F8"/>
  <c r="B8"/>
  <c r="D8"/>
  <c r="E8"/>
  <c r="C8"/>
  <c r="I5"/>
  <c r="I6"/>
  <c r="I7"/>
  <c r="I4"/>
  <c r="I3"/>
  <c r="I2"/>
  <c r="H6"/>
  <c r="H2"/>
  <c r="H3"/>
  <c r="H4"/>
  <c r="H5"/>
  <c r="H7"/>
  <c r="G3" l="1"/>
  <c r="G4"/>
  <c r="B2"/>
  <c r="F3"/>
  <c r="E3"/>
  <c r="E4"/>
  <c r="E5"/>
  <c r="D3"/>
  <c r="C3"/>
  <c r="C4"/>
  <c r="C5"/>
  <c r="B3"/>
  <c r="R3" i="12"/>
  <c r="N3"/>
  <c r="O3"/>
  <c r="G5" i="24"/>
  <c r="F4"/>
  <c r="F5"/>
  <c r="D4"/>
  <c r="B4"/>
  <c r="R3" i="14"/>
  <c r="N3"/>
  <c r="B5" i="24"/>
  <c r="D5"/>
  <c r="O3" i="18"/>
  <c r="E6" i="24" s="1"/>
  <c r="Q2" i="23"/>
  <c r="B7" i="24" s="1"/>
  <c r="P2" i="16"/>
  <c r="O4" i="10"/>
  <c r="O5"/>
  <c r="O6"/>
  <c r="O7"/>
  <c r="O8"/>
  <c r="O9"/>
  <c r="P10"/>
  <c r="Q10"/>
  <c r="D11"/>
  <c r="E11"/>
  <c r="F11"/>
  <c r="G11"/>
  <c r="H11"/>
  <c r="I11"/>
  <c r="O2" i="23"/>
  <c r="D7" i="24" s="1"/>
  <c r="O4" i="23"/>
  <c r="F7" i="24" s="1"/>
  <c r="O3" i="23"/>
  <c r="E7" i="24" s="1"/>
  <c r="S2" i="23" l="1"/>
  <c r="O10" i="10"/>
  <c r="L2" i="23" l="1"/>
  <c r="G7" i="24" s="1"/>
  <c r="C7"/>
  <c r="Q3" i="14"/>
  <c r="P3"/>
  <c r="O3"/>
  <c r="L3"/>
  <c r="N4" i="16"/>
  <c r="R2" s="1"/>
  <c r="N3"/>
  <c r="N2"/>
  <c r="P3" i="18"/>
  <c r="F6" i="24" s="1"/>
  <c r="N3" i="18"/>
  <c r="L3"/>
  <c r="Q3" i="12"/>
  <c r="P3"/>
  <c r="L3"/>
  <c r="S3" i="11"/>
  <c r="R3"/>
  <c r="E2" i="24" s="1"/>
  <c r="Q3" i="11"/>
  <c r="N3"/>
  <c r="L22" i="10"/>
  <c r="D21"/>
  <c r="D20"/>
  <c r="E18"/>
  <c r="F20"/>
  <c r="G19"/>
  <c r="H21"/>
  <c r="I21"/>
  <c r="D17"/>
  <c r="R3" i="18" l="1"/>
  <c r="G6" i="24" s="1"/>
  <c r="G8" s="1"/>
  <c r="D2"/>
  <c r="T3" i="11"/>
  <c r="G2" i="24" s="1"/>
  <c r="F2"/>
  <c r="P3" i="11"/>
  <c r="C2" i="24" s="1"/>
  <c r="B6"/>
  <c r="Q3" i="18"/>
  <c r="C6" i="24" s="1"/>
  <c r="D6"/>
  <c r="L2" i="16"/>
  <c r="D19" i="10"/>
  <c r="G21"/>
  <c r="F16"/>
  <c r="F17"/>
  <c r="G20"/>
  <c r="F21"/>
  <c r="E21"/>
  <c r="G16"/>
  <c r="H16"/>
  <c r="D18"/>
  <c r="F18"/>
  <c r="I16"/>
  <c r="F19"/>
  <c r="I17"/>
  <c r="I18"/>
  <c r="G17"/>
  <c r="I19"/>
  <c r="D16"/>
  <c r="G18"/>
  <c r="I20"/>
  <c r="H17"/>
  <c r="H18"/>
  <c r="H19"/>
  <c r="H20"/>
  <c r="E20"/>
  <c r="E17"/>
  <c r="E19"/>
  <c r="E16"/>
  <c r="J21" l="1"/>
  <c r="K21" s="1"/>
  <c r="J20"/>
  <c r="K20" s="1"/>
  <c r="J19"/>
  <c r="K19" s="1"/>
  <c r="J17"/>
  <c r="K17" s="1"/>
  <c r="J18"/>
  <c r="K18" s="1"/>
  <c r="J16"/>
  <c r="K16" s="1"/>
  <c r="K22" l="1"/>
</calcChain>
</file>

<file path=xl/sharedStrings.xml><?xml version="1.0" encoding="utf-8"?>
<sst xmlns="http://schemas.openxmlformats.org/spreadsheetml/2006/main" count="864" uniqueCount="614">
  <si>
    <t>Cybersecurity Governance &amp; Protection</t>
  </si>
  <si>
    <t>Gestion des incidents</t>
  </si>
  <si>
    <t>Sous Domaine</t>
  </si>
  <si>
    <t>Domain Du Continuité d’activité</t>
  </si>
  <si>
    <t>Business Impact Analysis (BIA)</t>
  </si>
  <si>
    <t>Impact Analysis</t>
  </si>
  <si>
    <t>Business Continuity Plans (BCP)</t>
  </si>
  <si>
    <t>BCP Structure &amp; Documentation</t>
  </si>
  <si>
    <t>Is there a formal, documented Business Continuity Plan?</t>
  </si>
  <si>
    <t>Ensure the existence of a formal and documented BCP that defines the organization’s approach to maintaining and restoring operations during disruptions</t>
  </si>
  <si>
    <t>Are document versions controlled and up to date?</t>
  </si>
  <si>
    <t>Ensure proper version control and regular updates of the BCP to maintain accuracy, traceability, and relevance</t>
  </si>
  <si>
    <t>Recovery Strategies</t>
  </si>
  <si>
    <t>Are data backup and restoration procedures documented?</t>
  </si>
  <si>
    <t>Ensure that data backup and restoration procedures are formally documented to support effective data recovery in case of disruption.</t>
  </si>
  <si>
    <t>Are recovery strategies defined for each critical process?</t>
  </si>
  <si>
    <t>Ensure that appropriate recovery strategies are defined for each critical process to enable effective restoration of operations.</t>
  </si>
  <si>
    <t>Resource Management</t>
  </si>
  <si>
    <t>Communication Management</t>
  </si>
  <si>
    <t>Testing &amp; Exercises</t>
  </si>
  <si>
    <t>Are test results documented and analyzed?</t>
  </si>
  <si>
    <t>Ensure that test results are formally documented and analyzed to identify gaps and areas for improvement.</t>
  </si>
  <si>
    <t>Are employees aware of the BCP and their roles?</t>
  </si>
  <si>
    <t>Ensure that employees are aware of the BCP and understand their roles to enable an effective response during disruptions.</t>
  </si>
  <si>
    <t>STRATÉGIES DE CONTINUITÉ</t>
  </si>
  <si>
    <t>Stratégies IT</t>
  </si>
  <si>
    <t>Les solutions de réplication des données sont-elles mises en place ?</t>
  </si>
  <si>
    <t>S’assurer que des solutions de réplication des données sont mises en place afin de garantir la disponibilité et la résilience des données critiques.</t>
  </si>
  <si>
    <t>Les capacités de restauration sont-elles testées ?</t>
  </si>
  <si>
    <t>S’assurer que les capacités de restauration sont régulièrement testées afin de valider leur efficacité en situation réelle.</t>
  </si>
  <si>
    <t>Les données sont-elles sauvegardées régulièrement ?</t>
  </si>
  <si>
    <t>S’assurer que les données sont sauvegardées de manière régulière afin de limiter la perte de données en cas d’incident.</t>
  </si>
  <si>
    <t>Stratégies Opérationnelles</t>
  </si>
  <si>
    <t>Existe-t-il des plans de relocalisation des équipes ?</t>
  </si>
  <si>
    <t>S’assurer que des plans de relocalisation des équipes sont définis afin de maintenir les opérations en cas d’indisponibilité des sites principaux.</t>
  </si>
  <si>
    <t>Définition des Stratégies</t>
  </si>
  <si>
    <t>Les choix de stratégies sont-ils justifiés (coût, efficacité, risques) ?</t>
  </si>
  <si>
    <t>S’assurer que les choix de stratégies de continuité sont justifiés en termes de coût, d’efficacité et de risques afin d’assurer des décisions adaptées et optimisées.</t>
  </si>
  <si>
    <t>Détection et signalement</t>
  </si>
  <si>
    <t>Procédure de signalement</t>
  </si>
  <si>
    <t>Sources de détection</t>
  </si>
  <si>
    <t>Les sources de détection internes et externes sont-elles identifiées ?</t>
  </si>
  <si>
    <t>S’assurer que les sources de détection internes et externes sont identifiées afin de permettre une surveillance efficace et proactive des incidents.</t>
  </si>
  <si>
    <t>Registre des incidents</t>
  </si>
  <si>
    <t>Existe-t-il un registre ou un outil de ticketing pour tracer les incidents ?</t>
  </si>
  <si>
    <t>S’assurer qu’un registre ou un outil de ticketing est utilisé pour tracer les incidents afin d’assurer la traçabilité et le suivi.</t>
  </si>
  <si>
    <t>Qualification et triage</t>
  </si>
  <si>
    <t>Grille de qualification</t>
  </si>
  <si>
    <t>Existe-t-il une grille formelle de qualification des incidents ?</t>
  </si>
  <si>
    <t>S’assurer qu’une grille formelle de qualification des incidents est disponible afin de classer et prioriser les incidents de manière cohérente.</t>
  </si>
  <si>
    <t>Critères de gravité</t>
  </si>
  <si>
    <t>Seuils d’escalade</t>
  </si>
  <si>
    <t>Des seuils d’escalade vers la gestion de crise sont-ils définis ?</t>
  </si>
  <si>
    <t>S’assurer que des seuils d’escalade vers la gestion de crise sont définis afin de déclencher rapidement les actions appropriées.</t>
  </si>
  <si>
    <t>Rôles de triage</t>
  </si>
  <si>
    <t>Confinement, éradication et remédiation</t>
  </si>
  <si>
    <t>Playbook de confinement</t>
  </si>
  <si>
    <t>Existe-t-il un playbook formel pour les scénarios d’incident majeurs ?</t>
  </si>
  <si>
    <t>S’assurer qu’un playbook formel est disponible pour les scénarios d’incidents majeurs afin de guider la réponse et réduire les erreurs.</t>
  </si>
  <si>
    <t>Procédure d’éradication</t>
  </si>
  <si>
    <t>Les actions d’éradication de la menace sont-elles documentées ?</t>
  </si>
  <si>
    <t>S’assurer que les actions d’éradication de la menace sont documentées afin de neutraliser efficacement les causes des incidents.</t>
  </si>
  <si>
    <t>Les actions correctives post-incident sont-elles définies ?</t>
  </si>
  <si>
    <t>S’assurer que les actions correctives post-incident sont définies afin de prévenir la récurrence et améliorer la sécurité globale.</t>
  </si>
  <si>
    <t>GOUVERNANCE</t>
  </si>
  <si>
    <t>Cadre de gouvernance et politiques</t>
  </si>
  <si>
    <t xml:space="preserve">Articulation avec les dispositifs connexes </t>
  </si>
  <si>
    <t>Les liens entre gestion de crise, gestion des incidents, continuité d’activité et sécurité sont-ils formalisés ?</t>
  </si>
  <si>
    <t>S’assurer que les liens entre gestion de crise, gestion des incidents, continuité d’activité et sécurité sont formalisés afin de garantir une coordination efficace et une réponse cohérente face aux disruptions.</t>
  </si>
  <si>
    <t>Existence et approbation du cadre de gouvernance</t>
  </si>
  <si>
    <t>Le cadre formel de gouvernance de gestion de crise cyber est-il documenté, daté et approuvé par l’autorité compétente ?</t>
  </si>
  <si>
    <t>S’assurer que le cadre de gouvernance de gestion de crise cyber est formellement documenté, daté et approuvé afin de garantir sa validité, sa légitimité et son application.</t>
  </si>
  <si>
    <t>Révision périodique du cadre et des politiques</t>
  </si>
  <si>
    <t>Existe-t-il une périodicité formelle de révision du cadre de gouvernance et les dernières versions sont-elles datées et tracées ?</t>
  </si>
  <si>
    <t>S’assurer qu’une périodicité de révision est définie et respectée afin de maintenir le cadre de gouvernance à jour et adapté aux évolutions.</t>
  </si>
  <si>
    <t>Diffusion du cadre aux parties prenantes concernées</t>
  </si>
  <si>
    <t>Le cadre de gouvernance est-il communiqué aux parties prenantes concernées et cette diffusion est-elle traçable ?</t>
  </si>
  <si>
    <t>S’assurer que le cadre de gouvernance est communiqué aux parties prenantes et que cette diffusion est traçable afin de garantir sa bonne appropriation.</t>
  </si>
  <si>
    <t>Répartition des responsabilités</t>
  </si>
  <si>
    <t>Les responsabilités de chaque acteur sont-elles attribuées pour les principales activités de crise ?</t>
  </si>
  <si>
    <t>S’assurer que les responsabilités de chaque acteur sont formalisées pour les activités de crise afin d’assurer coordination et responsabilité.</t>
  </si>
  <si>
    <t>Autorités décisionnelles</t>
  </si>
  <si>
    <t>Les niveaux d’autorité pour décider, arbitrer et valider en situation de crise sont-ils clairement définis ?</t>
  </si>
  <si>
    <t>S’assurer que les niveaux d’autorité sont clairement définis afin de permettre une prise de décision rapide et structurée en situation de crise.</t>
  </si>
  <si>
    <t>Revue de direction et supervision</t>
  </si>
  <si>
    <t>Gestion de CRISE</t>
  </si>
  <si>
    <t>Communication de crise</t>
  </si>
  <si>
    <t>Coordination et Information</t>
  </si>
  <si>
    <t>Le personnel clé a-t-il reçu une formation sur la communication de crise ?</t>
  </si>
  <si>
    <t>S’assurer que des canaux de communication externes sont prévus afin de diffuser rapidement et clairement les informations aux parties prenantes externes.</t>
  </si>
  <si>
    <t>S’assurer que des canaux de communication internes sont prévus afin de tenir informé le personnel et les parties prenantes internes.</t>
  </si>
  <si>
    <t>Organisation et fonctionnement de la cellule</t>
  </si>
  <si>
    <t>Membership &amp; Roles</t>
  </si>
  <si>
    <t>Do members have the required skills and competencies for their roles?</t>
  </si>
  <si>
    <t>S’assurer que les membres possèdent les compétences et savoir-faire requis pour leurs rôles afin d’assurer une réponse efficace.</t>
  </si>
  <si>
    <t>Are the members of the cell appointed formally?</t>
  </si>
  <si>
    <t>S’assurer que les membres de la cellule sont officiellement nommés afin de garantir responsabilité et clarté dans la structure de crise.</t>
  </si>
  <si>
    <t>Coordination &amp; Escalation</t>
  </si>
  <si>
    <t>Process &amp; Procedures</t>
  </si>
  <si>
    <t>Existe-t-il des procédures pour évaluer la gravité d’un incident avant activation ?</t>
  </si>
  <si>
    <t>S’assurer que des procédures sont en place pour évaluer la gravité d’un incident avant activation afin de déclencher la cellule de crise de manière appropriée.</t>
  </si>
  <si>
    <t>CADRE REGLEMENTAIRE ET JURIDIQUE</t>
  </si>
  <si>
    <t>cadre de gestion des preuves</t>
  </si>
  <si>
    <t>Existe-t-il une politique formelle de conservation des preuves numériques ?</t>
  </si>
  <si>
    <t>Ensure a formal digital evidence retention policy exists to guarantee proper handling, preservation, and management of digital evidence.</t>
  </si>
  <si>
    <t>Les types de preuves (logs, images disque, emails, etc.) sont-ils identifiés ?</t>
  </si>
  <si>
    <t>Identification et collecte des preuves</t>
  </si>
  <si>
    <t>Les outils de collecte utilisés sont-ils validés et fiables ?</t>
  </si>
  <si>
    <t>Les intervenants savent-ils quoi collecter et quand ?</t>
  </si>
  <si>
    <t>Les méthodes de collecte garantissent-elles l’intégrité des preuves ?</t>
  </si>
  <si>
    <t>Stockage et protection des preuves</t>
  </si>
  <si>
    <t>L’accès au stockage est-il limité aux personnes autorisées ?</t>
  </si>
  <si>
    <t>Des sauvegardes des preuves sont-elles réalisées ?</t>
  </si>
  <si>
    <t>Les preuves sont-elles stockées dans un environnement sécurisé ?</t>
  </si>
  <si>
    <t>Cette durée respecte-t-elle les exigences légales et réglementaires (ISO 27001)</t>
  </si>
  <si>
    <t>Ensure that evidence retention duration complies with legal and regulatory requirements (e.g., ISO 27001).</t>
  </si>
  <si>
    <t>Les preuves sont-elles conservées suffisamment longtemps pour les enquêtes ?</t>
  </si>
  <si>
    <t>Ensure that evidence is retained long enough to support thorough investigations and legal proceedings.</t>
  </si>
  <si>
    <t>Une durée de conservation des preuves est-elle définie ?</t>
  </si>
  <si>
    <t>Ensure that a defined retention period for evidence is established to guide proper management.</t>
  </si>
  <si>
    <t>Les procédures respectent-elles les bonnes pratiques forensiques (ISO 27037) ?</t>
  </si>
  <si>
    <t>Ensure that procedures follow forensic best practices (e.g., ISO 27037) to maintain credibility and legal admissibility.</t>
  </si>
  <si>
    <t>Les preuves sont-elles exploitables dans un cadre légal (admissibilité) ?</t>
  </si>
  <si>
    <t>Ensure that collected evidence is legally admissible to support investigations and potential legal action.</t>
  </si>
  <si>
    <t>Audit et droit de contrôle</t>
  </si>
  <si>
    <t>Existe-t-il des pénalités en cas de non-respect des exigences ?</t>
  </si>
  <si>
    <t>Ensure that penalties exist for non-compliance to enforce adherence to evidence management requirements.</t>
  </si>
  <si>
    <t>Les contrats incluent-ils des exigences de performance et de sécurité ?</t>
  </si>
  <si>
    <t>Ensure that contracts with service providers include performance and security requirements to safeguard evidence handling.</t>
  </si>
  <si>
    <t>Les prestataires doivent-ils fournir des rapports d’audit ou certifications ?</t>
  </si>
  <si>
    <t>Ensure that service providers are required to provide audit reports or certifications to verify compliance and reliability.</t>
  </si>
  <si>
    <t>S’assurer que le personnel clé est formé à la communication de crise afin de garantir une diffusion d’informations claire, cohérente et maîtrisée en situation de crise.</t>
  </si>
  <si>
    <t xml:space="preserve">Forensics </t>
  </si>
  <si>
    <t>AHP</t>
  </si>
  <si>
    <t>Echelle</t>
  </si>
  <si>
    <t>GOV</t>
  </si>
  <si>
    <t>INC</t>
  </si>
  <si>
    <t>CRI</t>
  </si>
  <si>
    <t>CONT</t>
  </si>
  <si>
    <t>FOR</t>
  </si>
  <si>
    <r>
      <t>1</t>
    </r>
    <r>
      <rPr>
        <sz val="11"/>
        <color theme="1"/>
        <rFont val="Calibri"/>
        <family val="2"/>
        <scheme val="minor"/>
      </rPr>
      <t xml:space="preserve"> : importance égale</t>
    </r>
  </si>
  <si>
    <r>
      <t>3</t>
    </r>
    <r>
      <rPr>
        <sz val="11"/>
        <color theme="1"/>
        <rFont val="Calibri"/>
        <family val="2"/>
        <scheme val="minor"/>
      </rPr>
      <t xml:space="preserve"> : importance modérée</t>
    </r>
  </si>
  <si>
    <r>
      <t>5</t>
    </r>
    <r>
      <rPr>
        <sz val="11"/>
        <color theme="1"/>
        <rFont val="Calibri"/>
        <family val="2"/>
        <scheme val="minor"/>
      </rPr>
      <t xml:space="preserve"> : importance forte</t>
    </r>
  </si>
  <si>
    <r>
      <t>7</t>
    </r>
    <r>
      <rPr>
        <sz val="11"/>
        <color theme="1"/>
        <rFont val="Calibri"/>
        <family val="2"/>
        <scheme val="minor"/>
      </rPr>
      <t xml:space="preserve"> : importance très forte</t>
    </r>
  </si>
  <si>
    <r>
      <t>9</t>
    </r>
    <r>
      <rPr>
        <sz val="11"/>
        <color theme="1"/>
        <rFont val="Calibri"/>
        <family val="2"/>
        <scheme val="minor"/>
      </rPr>
      <t xml:space="preserve"> : importance extrême</t>
    </r>
  </si>
  <si>
    <r>
      <t>2, 4, 6, 8</t>
    </r>
    <r>
      <rPr>
        <sz val="11"/>
        <color theme="1"/>
        <rFont val="Calibri"/>
        <family val="2"/>
        <scheme val="minor"/>
      </rPr>
      <t xml:space="preserve"> : valeurs intermédiaires</t>
    </r>
  </si>
  <si>
    <t>SOMME</t>
  </si>
  <si>
    <t>NORMALISER : Méthode approchée par normalisation des colonnes</t>
  </si>
  <si>
    <t>Domaine</t>
  </si>
  <si>
    <t>PONDERATION</t>
  </si>
  <si>
    <t>Resultat</t>
  </si>
  <si>
    <t>%</t>
  </si>
  <si>
    <t>Registre des processus métiers classés par criticité, matrice de priorisation, rapport BIA validé</t>
  </si>
  <si>
    <t>Liste des fournisseurs/partenaires critiques, cartographie des dépendances externes, contrats/SLA, sections BIA dédiées aux tiers</t>
  </si>
  <si>
    <t>Méthodologie BIA, critères de classification documentés, grille de scoring, comptes rendus d’ateliers métiers</t>
  </si>
  <si>
    <t>Cartographie des dépendances, inventaire applicatif, organigrammes/fiches de postes clés, registre des tiers critiques</t>
  </si>
  <si>
    <t>Tableaux d’évaluation chiffrée, indicateurs qualitatifs, scorecards, fiches d’analyse d’impact</t>
  </si>
  <si>
    <t>Tableaux d’impact par horizon temporel, scénarios de dégradation, rapport BIA avec seuils 24h/48h/72h, matrices d’escalade</t>
  </si>
  <si>
    <t>Liste de ressources de secours, contrats de secours, solutions alternatives documentées, sites/relais identifiés</t>
  </si>
  <si>
    <t>PCA/BCP formel approuvé, politique de continuité, manuel de continuité, référentiel documentaire</t>
  </si>
  <si>
    <t>Bibliothèque de scénarios, plans par scénario, fiches réflexes, analyses de risques</t>
  </si>
  <si>
    <t>Journal des versions, date de mise à jour, validation documentaire, contrôle qualité documentaire</t>
  </si>
  <si>
    <t>Annuaire de crise, listes d’appel, contacts fournisseurs, historique de mise à jour</t>
  </si>
  <si>
    <t>Procédures détaillées, playbooks, runbooks, fiches réflexes par scénario</t>
  </si>
  <si>
    <t>Procédure de communication de crise, matrices de communication, modèles de messages, plan média</t>
  </si>
  <si>
    <t>Politique de sauvegarde, procédures de restauration, journaux de sauvegarde, rapports de tests</t>
  </si>
  <si>
    <t>Contrats/site de repli, documentation DR site, inventaire environnements de secours, architecture cible</t>
  </si>
  <si>
    <t>Fiches stratégies par processus, PCA/PRA détaillés, scénarios de reprise, annexes opérationnelles</t>
  </si>
  <si>
    <t>Contrats de secours, équipements redondants, fournisseurs alternatifs, stock de sécurité</t>
  </si>
  <si>
    <t>Liste du personnel critique, plan de formation, feuilles de présence, exercices ciblés</t>
  </si>
  <si>
    <t>Modèles de messages, communiqués préapprouvés, modèles d’email/SMS, kit de communication</t>
  </si>
  <si>
    <t>Programme d’exercices, rapports distincts par type de test, scénarios tabletop/techniques/full-scale</t>
  </si>
  <si>
    <t>Rapports d’évaluation, indicateurs de test, analyses d’écarts, tableaux de suivi</t>
  </si>
  <si>
    <t>Supports de sensibilisation, attestations de formation, quiz/exercices, enquêtes de connaissance</t>
  </si>
  <si>
    <t>Architecture de réplication, configurations techniques, contrats/outils de réplication, tableaux de bord de supervision</t>
  </si>
  <si>
    <t>Rapports de tests de restauration, preuves de succès/échec, journaux techniques, PV d’exercice PRA</t>
  </si>
  <si>
    <t>Politique de sauvegarde, planning des sauvegardes, logs de sauvegarde, tableaux de suivi</t>
  </si>
  <si>
    <t>Plan de relocalisation, sites alternatifs identifiés, accords logistiques, scénarios de transfert testés</t>
  </si>
  <si>
    <t>Études d’options, business case, analyse coûts-bénéfices, analyse de risques, PV de décision/validation</t>
  </si>
  <si>
    <t>Liste des sources de détection ; documentation SOC/SIEM ; cartographie des alertes</t>
  </si>
  <si>
    <t>Registre des incidents ; outil de ticketing ; rapports de suivi des incidents</t>
  </si>
  <si>
    <t>Grille de qualification ; procédure de triage ; guide de classification</t>
  </si>
  <si>
    <t>Seuils d’escalade formalisés ; matrice d’escalade ; procédure d’activation de crise</t>
  </si>
  <si>
    <t>Playbooks de réponse ; procédures par scénario ; fiches réflexes</t>
  </si>
  <si>
    <t>Procédure d’éradication ; runbooks techniques ; rapports d’intervention</t>
  </si>
  <si>
    <t>Plan de remédiation ; registre des actions correctives ; suivi des corrections</t>
  </si>
  <si>
    <t>Schéma de gouvernance ; matrice d’articulation entre dispositifs ; procédure transversale validée</t>
  </si>
  <si>
    <t>Cadre de gouvernance approuvé ; note de validation signée ; version datée du document</t>
  </si>
  <si>
    <t>Calendrier de révision ; historique des versions ; journal des modifications</t>
  </si>
  <si>
    <t>Liste de diffusion ; emails de communication ; accusés de réception ou feuilles de diffusion</t>
  </si>
  <si>
    <t>Matrice RACI ; répartition des responsabilités ; procédures opérationnelles</t>
  </si>
  <si>
    <t>Délégations de pouvoir ; matrice d’autorité ; procédure de décision de crise</t>
  </si>
  <si>
    <t>Plan de formation ; feuilles de présence ; supports de sensibilisation</t>
  </si>
  <si>
    <t>Plan de communication de crise ; liste des canaux externes ; modèles de communiqués</t>
  </si>
  <si>
    <t>Procédure de communication interne ; annuaire de diffusion ; canaux d’alerte définis</t>
  </si>
  <si>
    <t>Matrice de compétences ; fiches de poste ; attestations de formation</t>
  </si>
  <si>
    <t>Décision de nomination ; liste officielle des membres ; organigramme de crise</t>
  </si>
  <si>
    <t>Charte de cellule de crise ; note de gouvernance ; document d’organisation validé</t>
  </si>
  <si>
    <t>Procédure d’évaluation ; grille de gravité ; procédure d’activation</t>
  </si>
  <si>
    <t>Politique de conservation des preuves ; procédure forensique ; note d’approbation</t>
  </si>
  <si>
    <t>Typologie des preuves ; guide de collecte ; inventaire des sources de preuve</t>
  </si>
  <si>
    <t>Liste des outils approuvés ; rapports de validation ; documentation technique</t>
  </si>
  <si>
    <t>Guide opérationnel ; supports de formation ; fiches réflexes</t>
  </si>
  <si>
    <t>Procédure de collecte ; chaîne de conservation ; formulaires de traçabilité</t>
  </si>
  <si>
    <t>Matrice des habilitations ; journal des accès ; procédure de contrôle d’accès</t>
  </si>
  <si>
    <t>Politique de sauvegarde ; journaux de sauvegarde ; rapports de test de restauration</t>
  </si>
  <si>
    <t>Procédure de stockage sécurisé ; configuration du coffre ou dépôt sécurisé ; contrôle d’accès physique/logique</t>
  </si>
  <si>
    <t>Politique de rétention ; matrice de conformité ; avis juridique ou conformité</t>
  </si>
  <si>
    <t>Tableau des durées de conservation ; exigences d’enquête ; registre d’archivage</t>
  </si>
  <si>
    <t>Politique de rétention ; calendrier de conservation ; procédure d’archivage</t>
  </si>
  <si>
    <t>Procédure forensique ; référentiel de bonnes pratiques ; mode opératoire d’investigation</t>
  </si>
  <si>
    <t>Chaîne de possession ; avis juridique ; dossier de preuve documenté</t>
  </si>
  <si>
    <t>Clauses contractuelles ; SLA ; clauses de pénalité</t>
  </si>
  <si>
    <t>Contrats fournisseurs ; exigences de sécurité ; annexes SLA/Security</t>
  </si>
  <si>
    <t>Clauses d’audit ; rapports d’audit ; certificats de conformité</t>
  </si>
  <si>
    <t>Exigences de conservation de preuve</t>
  </si>
  <si>
    <t>Structure</t>
  </si>
  <si>
    <t>Arrondissement</t>
  </si>
  <si>
    <t>Final</t>
  </si>
  <si>
    <t>CONF</t>
  </si>
  <si>
    <t>Nombre De Question</t>
  </si>
  <si>
    <t>S’assurer que tous les types de preuves pertinents (journaux, images disque, e-mails, etc.) sont identifiés afin de soutenir des investigations approfondies.</t>
  </si>
  <si>
    <t>S’assurer que les outils de collecte sont validés et fiables afin de garantir l’intégrité et l’exactitude des preuves.</t>
  </si>
  <si>
    <t>S’assurer que le personnel sait quelles preuves collecter et à quel moment, afin de soutenir des processus forensiques efficaces.</t>
  </si>
  <si>
    <t>S’assurer que les méthodes de collecte préservent l’intégrité des preuves afin d’éviter toute altération ou perte.</t>
  </si>
  <si>
    <t>S’assurer que l’accès au stockage des preuves est restreint au personnel autorisé afin de protéger la confidentialité et l’intégrité.</t>
  </si>
  <si>
    <t>S’assurer que des sauvegardes des preuves sont effectuées afin d’éviter toute perte accidentelle ou corruption.</t>
  </si>
  <si>
    <t>S’assurer que les preuves sont stockées dans un environnement sécurisé afin de les protéger contre tout accès non autorisé ou dommage.</t>
  </si>
  <si>
    <t xml:space="preserve"> l’audit</t>
  </si>
  <si>
    <t xml:space="preserve">Rapport d'audit une fois chaque 12 mois </t>
  </si>
  <si>
    <t>l’audit obligatoire de la sécurité des systèmes d’information</t>
  </si>
  <si>
    <t>laudit est effectuée par des
experts ou des organisme  lisyer par ANSI</t>
  </si>
  <si>
    <t>organismes soumis à l’audit de sécurité
des systèmes d’information remettent à l’Agence une
copie électronique protégée du rapport d’audit dans un
délai ne dépassant pas dix (10) jours après la fin des
opérations d’audit</t>
  </si>
  <si>
    <t xml:space="preserve">Attribution le label « sécurisé » à
chaque logiciel ou équipement électronique </t>
  </si>
  <si>
    <t>Sécurité des logiciels et équipements
électroniques</t>
  </si>
  <si>
    <t xml:space="preserve">Du classement des fournisseurs des services de
l’informatique en nuage et de l’hébergement </t>
  </si>
  <si>
    <t xml:space="preserve">Document officiele de l'attribution de la label "securise" sur logiciel et equipement de l'entreprise  </t>
  </si>
  <si>
    <t>Attribution le label « G-Cloud » et « N-Cloud »  à
chaque Fournisseur de
services informatique en nuage</t>
  </si>
  <si>
    <t xml:space="preserve">document officielle de l'attribution et validiter de la label pour les fourniseur et pour l'organisme si applicable </t>
  </si>
  <si>
    <t>classification selon le degré de sécurité</t>
  </si>
  <si>
    <t>Quelle est le niveau de securite ( premier niveau / Deuxieme niveau / Troisieme niveau )</t>
  </si>
  <si>
    <t>Document de classification de ANSI</t>
  </si>
  <si>
    <t xml:space="preserve">Les organismes sont tenues de créer leurs propres centres de réponse aux urgences ou d’adhérer à des
centres de réponse aux urgences cybernétiques </t>
  </si>
  <si>
    <t xml:space="preserve">prezsence d'un centre local ou contrat en cas d'un tier </t>
  </si>
  <si>
    <t xml:space="preserve">dispositions spécifiques aux infrastructures
numériques d’importance vitale </t>
  </si>
  <si>
    <t>Les structures qui gèrent des
infrastructures numériques d’importance vitale sont
tenues de prendre les mesures de sécurité</t>
  </si>
  <si>
    <t>Utiliser des logiciels et équipements ayant le
label « sécurisé ».
Avoir son propre centre d'hébergement
principal et un centre de backup auprès d’un
fournisseur de services informatique en nuage ayant
obtenu le label.
Respecter les mesures et les procédures
nécessaires pour assurer la continuité d'activité et
protéger les bases de données sensibles dont l'atteinte
à l'intégrité pourrait affecter à la sécurité nationale en
cas de crise cybernétique</t>
  </si>
  <si>
    <t xml:space="preserve">interdit à tout chargé de l’exécution des ordonnances judiciaires relatives à l’accès aux données stockées au niveau du système d’information ou à la collecte de données du flux de trafic ou à l’interception de communications, ou celui auquel il est fait recours pour cette tâche, de divulguer le secret professionnel dans tout ce qui concerne les dispositions et les modalités appliquées ou les informations ou données </t>
  </si>
  <si>
    <t>Réponse aux urgences cybernétiques</t>
  </si>
  <si>
    <t>S’assurer que des audits obligatoires de la sécurité des systèmes d’information sont réalisés afin d’évaluer la conformité et l’efficacité des mesures de sécurité mises en place</t>
  </si>
  <si>
    <t>S’assurer que chaque logiciel ou équipement électronique obtient un label « sécurisé » afin de garantir qu’il répond aux exigences de sécurité définies.</t>
  </si>
  <si>
    <t>S’assurer que chaque fournisseur de services cloud obtient les labels « G-Cloud » et « N-Cloud » afin de garantir leur conformité aux standards de sécurité applicables.</t>
  </si>
  <si>
    <t>Evaluation de niveau de securite</t>
  </si>
  <si>
    <t>S’assurer que les organismes mettent en place ou adhèrent à des centres de réponse aux urgences cybernétiques afin de garantir une capacité efficace de détection et de réponse aux incidents</t>
  </si>
  <si>
    <t>S’assurer que les structures gérant des infrastructures numériques critiques appliquent des mesures de sécurité renforcées afin de protéger les services essentiels</t>
  </si>
  <si>
    <t>S’assurer que la confidentialité des opérations liées à l’accès, la collecte et l’interception des données est strictement respectée afin de protéger le secret professionnel et les informations sensibles</t>
  </si>
  <si>
    <t>Catégorie de contrôle</t>
  </si>
  <si>
    <t>Contrôle</t>
  </si>
  <si>
    <t>Objectif</t>
  </si>
  <si>
    <t>Preuves possibles</t>
  </si>
  <si>
    <t>Question finale</t>
  </si>
  <si>
    <t>Declaration signe de charge des son premier jour de sa prise en charge de travaille</t>
  </si>
  <si>
    <t>Pouvez-vous fournir les rapports d’audit réalisés au cours des 12 derniers mois, ainsi que les preuves de leur dépôt auprès de l’ANSI ?</t>
  </si>
  <si>
    <t>Est-ce que vos équipements électroniques et logiciels, ainsi que vos fournisseurs de services cloud, possèdent respectivement les labels « Sécurisé » et « G-Cloud / N-Cloud » valides délivrés par l’ANSI ?</t>
  </si>
  <si>
    <t>L’organisation possède-t-elle un niveau de sécurité délivré par l’ANSI ? Si oui, quel est ce niveau ?</t>
  </si>
  <si>
    <t>L’organisme dispose-t-il d’un centre de réponse aux urgences (propre ou adhérent) et prend-il les mesures de sécurité requises pour la gestion des infrastructures numériques d’importance vitale ?</t>
  </si>
  <si>
    <t>Où sont stockées les preuves et qui peut y accéder ?</t>
  </si>
  <si>
    <t>Les personnes chargées de la collecte des preuves sont-elles qualifiées pour effectuer cette tâche, et quelle méthode de collecte est utilisée ?</t>
  </si>
  <si>
    <t>Quel est le périmètre de la collecte des preuves et quels outils sont utilisés pour cette collecte ?</t>
  </si>
  <si>
    <t>Les impacts sont-ils mesurés quantitativement et/ou qualitativement, et sont-ils évalués à court, moyen et long terme (24h, 48h, 72h) ?</t>
  </si>
  <si>
    <t>Real</t>
  </si>
  <si>
    <t>Is a formal incident logging register or ticketing system implemented to ensure proper tracking, documentation, and traceability of incidents?</t>
  </si>
  <si>
    <t>Result</t>
  </si>
  <si>
    <t>No</t>
  </si>
  <si>
    <t>N/A</t>
  </si>
  <si>
    <t>Yes</t>
  </si>
  <si>
    <t>What technical resources and tools are implemented to support threat detection and monitoring?</t>
  </si>
  <si>
    <t>What eradication actions are defined to address identified threats?</t>
  </si>
  <si>
    <t>Quels canaux de communication sont prévus pour la diffusion externe/interne  ?</t>
  </si>
  <si>
    <t>Nb Question</t>
  </si>
  <si>
    <t>Comment l’entreprise s’assure-t-elle que les enregistrements sont complets et n’ont fait l’objet d’aucune altération ?</t>
  </si>
  <si>
    <t>Comment l’entreprise s’assure-t-elle que les retours d’expérience sont intégrés dans les plans ?</t>
  </si>
  <si>
    <t>Comment l’entreprise s’assure-t-elle que les équipes connaissent leurs rôles en cas de crise ?</t>
  </si>
  <si>
    <t>Securite Physique</t>
  </si>
  <si>
    <t>Périmètres de sécurité physique</t>
  </si>
  <si>
    <t>Comment l’entreprise s’assure-t-elle que les bâtiments hébergeant des systèmes d’information sont physiquement sécurisés, que l’accès physique est contrôlé et limité aux personnes autorisées, et que des systèmes d’alarme et de surveillance sont installés et opérationnels ?</t>
  </si>
  <si>
    <t>Terminaux finaux
des utilisateurs</t>
  </si>
  <si>
    <t>Protection contre les programmes malveillants</t>
  </si>
  <si>
    <t>Gestion des vulnérabilités techniques</t>
  </si>
  <si>
    <t>Prévention de la fuite de données</t>
  </si>
  <si>
    <t>Redondance des moyens de traite- ment de l'infor- mation</t>
  </si>
  <si>
    <t>Sécurité des réseaux</t>
  </si>
  <si>
    <t>Utilisation de la cryptographie</t>
  </si>
  <si>
    <t>Fonctionnement</t>
  </si>
  <si>
    <t>Des outils de détection et de suppression des programmes malveillants sont-ils installés et régulièrement mis à jour sur les systèmes ?</t>
  </si>
  <si>
    <t>Des tests de pénétration ou évaluations de vulnérabilités sont-ils réalisés régulièrement par du personnel compétent et autorisé ?</t>
  </si>
  <si>
    <t>Les mises à jour sont-elles signées numériquement et leur intégrité est-elle vérifiée avant installation</t>
  </si>
  <si>
    <t>Les accès aux données sensibles sont-ils protégés par des contrôles d’accès granulaires (RBAC/ABAC) ?</t>
  </si>
  <si>
    <t>Les configurations réseau sont-elles sauvegardées et versionnées pour assurer leur intégrité et leur restauration ?</t>
  </si>
  <si>
    <t>Les données au repos et en transit sont-elles chiffrées, et des mécanismes sont-ils en place pour gérer l’impact du chiffrement sur les contrôles de sécurité (Inspection, détection et analyse) ?</t>
  </si>
  <si>
    <t>Le réseau est-il correctement segmenté, et quels protocoles sont autorisés au sein du réseau ?</t>
  </si>
  <si>
    <t>L’architecture des systèmes intègre-t-elle des mécanismes de redondance (active-active, active-passive) adaptés aux besoins métier ? (fourniseur internet , power suply , service acess )</t>
  </si>
  <si>
    <t xml:space="preserve">Les données reçues via les réseaux, supports de stockage ou pièces jointes des emails, sont-elles systématiquement analysées avant utilisation ? </t>
  </si>
  <si>
    <t>Les périphériques amovibles (USB, disques externes) sont-ils contrôlés ?</t>
  </si>
  <si>
    <t>Des solutions DLP sont-elles déployées sur les endpoints, le réseau et le cloud ?</t>
  </si>
  <si>
    <t>Nb Questions / Domaine</t>
  </si>
  <si>
    <t>Détection et déclenchement de crise</t>
  </si>
  <si>
    <t>Procédures de réponse</t>
  </si>
  <si>
    <t>Coordination externe</t>
  </si>
  <si>
    <t>Les outils de monitoring permettent-ils une détection en temps réel des incidents majeurs ?</t>
  </si>
  <si>
    <t>Des runbooks sont-ils disponibles pour les scénarios cyber majeurs</t>
  </si>
  <si>
    <t>Combien de temps faut-il en moyenne pour isoler un système compromis ?</t>
  </si>
  <si>
    <t>Un prestataire de réponse à incident (IR) est-il contractuellement prévu ?</t>
  </si>
  <si>
    <t>Le temps de détection (MTTD) et de réponse (MTTR) est-il mesuré ?</t>
  </si>
  <si>
    <t>Les performances en gestion de crise sont-elles régulièrement évaluées ?</t>
  </si>
  <si>
    <t>Indicateurs opérationnels</t>
  </si>
  <si>
    <t>Veille et préparation à la crise</t>
  </si>
  <si>
    <t>L’organisation collecte-t-elle et exploite-t-elle efficacement les renseignements sur les menaces (stratégiques, tactiques et opérationnelles) pour anticiper les crises cyber, améliorer la détection et réduire leur impact ?</t>
  </si>
  <si>
    <t>L’organisation mesure-t-elle et analyse-t-elle les incidents de sécurité (types, volume, coûts) afin d’améliorer la gestion de crise, prévenir les incidents récurrents et renforcer la sensibilisation des utilisateurs ?</t>
  </si>
  <si>
    <t>Les membres de la cellule de crise sont-ils identifiés (IT, sécurité, juridique, communication, direction) ?</t>
  </si>
  <si>
    <t>Les rôles et responsabilités sont-ils clairement définis et compris ? Existe-t-il des remplaçants en cas d’indisponibilité ?</t>
  </si>
  <si>
    <t>What communication channels are established for use in the event of an cybercrise?</t>
  </si>
  <si>
    <t>Des exercices de simulation de crise sont-ils réalisés ?</t>
  </si>
  <si>
    <t>Tests et amélioration</t>
  </si>
  <si>
    <t>La cellule a-t-elle déjà été activée en conditions réelles ?</t>
  </si>
  <si>
    <t>La communication peut-elle être maintenue si les systèmes internes sont compromis ?</t>
  </si>
  <si>
    <t>Disponibilité des ressources</t>
  </si>
  <si>
    <t>Les équipes de crise sont-elles disponibles 24/7 en cas d’incident majeur ?</t>
  </si>
  <si>
    <t>Existe-t-il un espace dédié de gestion de crise (physique ou virtuel) ?</t>
  </si>
  <si>
    <t>Comment les données compromises sont-elles identifiées et protégées ?</t>
  </si>
  <si>
    <t>Gestion des données en crise</t>
  </si>
  <si>
    <t>Comment Les systèmes sont-ils restaurés de manière contrôlée et sécurisée ?</t>
  </si>
  <si>
    <t>Un contrôle post-crise est-il effectué avant la remise en production ?</t>
  </si>
  <si>
    <t>Reprise après crise</t>
  </si>
  <si>
    <t>Existe-t-il un mécanisme de communication avec CERT/autorités ?</t>
  </si>
  <si>
    <t>Comment La coordination avec fournisseurs, cloud providers et partenaires est-elle intégrée dans la gestion de crise ?</t>
  </si>
  <si>
    <t>Des contrôles d’accès réseau (firewalls, ACL) sont-ils configurés ?</t>
  </si>
  <si>
    <t>L’entreprise intègre-t-elle les retours d’expérience dans les plans de continuité ?</t>
  </si>
  <si>
    <t>S’assurer que les retours d’expérience (incidents, exercices, tests) sont systématiquement analysés, documentés et intégrés dans les plans, afin de garantir l’amélioration continue de l’efficacité des dispositifs de continuité.</t>
  </si>
  <si>
    <t>Rapports de retour d’expérience, comptes rendus d’exercices/tests, plans mis à jour, procédures de gestion des changements, historiques des améliorations.</t>
  </si>
  <si>
    <t>S’assurer que des sites ou systèmes alternatifs sont identifiés afin de maintenir ou de rétablir les opérations lorsque les ressources principales sont indisponibles.</t>
  </si>
  <si>
    <t>Les plans de relocalisation, les sites alternatifs, les accords logistiques ainsi que les environnements de reprise d’activité (PRA) ,incluant les contrats, la documentation et l’architecture cible  sont-ils définis, documentés et testés (y compris les scénarios de transfert) ?</t>
  </si>
  <si>
    <t>Les listes de contacts (internes et externes) sont-elles documentées et régulièrement mises à jour ?</t>
  </si>
  <si>
    <t>Identification des activités critiques</t>
  </si>
  <si>
    <t>Les processus métiers sont-ils priorisés en fonction de leur criticité ?</t>
  </si>
  <si>
    <t>S’assurer que toutes les dépendances internes et externes nécessaires au fonctionnement des processus métiers sont identifiées de manière exhaustive.</t>
  </si>
  <si>
    <t>Comment les processus métiers sont-ils identifiés, priorisés et classifiés ?</t>
  </si>
  <si>
    <t>Comment les processus critiques sont-ils identifiés et classifiés ?</t>
  </si>
  <si>
    <t>S’assurer qu’une méthodologie structurée et cohérente est utilisée pour identifier et classer les processus métiers critiques en fonction de leur importance pour les opérations et les objectifs de l’organisation.</t>
  </si>
  <si>
    <t>Les dépendances externes (fournisseurs, partenaires) sont-elles incluses dans le BIA ?</t>
  </si>
  <si>
    <t>S’assurer que toutes les dépendances liées aux tiers sont prises en compte dans le BIA afin d’évaluer les risques liés aux perturbations externes et de renforcer la résilience.</t>
  </si>
  <si>
    <t>Toutes les dépendances internes et externes, y compris les fournisseurs, partenaires, systèmes informatiques et le personnel, ont-elles été identifiées et intégrées dans le BIA ?</t>
  </si>
  <si>
    <t>Toutes les dépendances ont-elles été identifiées (systèmes IT, tiers, personnel) ?</t>
  </si>
  <si>
    <t>S’assurer que toutes les dépendances internes et externes nécessaires au fonctionnement des processus métiers sont identifiées de manière exhaustive afin d’éviter les vulnérabilités cachées.</t>
  </si>
  <si>
    <t>Des mesures d’impact quantitatives et/ou qualitatives sont-elles utilisées ?</t>
  </si>
  <si>
    <t>S’assurer que des mesures à la fois quantitatives et qualitatives sont utilisées afin de fournir une évaluation complète des impacts.</t>
  </si>
  <si>
    <t>Les impacts sont-ils évalués selon plusieurs horizons temporels (ex. : 24h, 48h, 72h) ?</t>
  </si>
  <si>
    <t>S’assurer que les impacts sont analysés selon différents horizons temporels afin de comprendre l’évolution de la gravité des perturbations et de définir des priorités de reprise adaptées.</t>
  </si>
  <si>
    <t>Responsibilitiés</t>
  </si>
  <si>
    <t>Les différents types de scénarios sont-ils couverts (cyberattaque, panne système) ?</t>
  </si>
  <si>
    <t>S’assurer que le PCA couvre une gamme de scénarios de perturbation plausibles afin d’améliorer la préparation et l’efficacité de la réponse.</t>
  </si>
  <si>
    <t>Les procédures de réponse détaillées sont-elles définies pour chaque scénario ?</t>
  </si>
  <si>
    <t>S’assurer que des procédures de réponse détaillées, étape par étape, sont définies pour chaque scénario afin de permettre une réponse structurée et efficace en cas de perturbation.</t>
  </si>
  <si>
    <t>S’assurer que des informations de contact précises et à jour sont maintenues afin de permettre une communication et une coordination rapides en situation de crise.</t>
  </si>
  <si>
    <t>es procédures de communication (internes et externes) sont-elles définies ?</t>
  </si>
  <si>
    <t>S’assurer que des procédures de communication claires sont définies pour les parties prenantes internes et externes afin de garantir une diffusion cohérente et coordonnée de l’information.</t>
  </si>
  <si>
    <t>Des modèles de communication de crise (emails, communiqués de presse) sont-ils préparés ?</t>
  </si>
  <si>
    <t>S’assurer que des modèles de communication préapprouvés sont disponibles afin de garantir des messages rapides, cohérents et maîtrisés en situation de crise.</t>
  </si>
  <si>
    <t xml:space="preserve">Procedures de reponse </t>
  </si>
  <si>
    <t>Le personnel critique est-il identifié et formé ?</t>
  </si>
  <si>
    <t>S’assurer que le personnel critique est identifié et correctement formé pour assurer ses missions en cas de perturbation.</t>
  </si>
  <si>
    <t>Quand les scénarios du BIA ont-ils été testés pour la dernière fois et quels types de tests ont été réalisés ?</t>
  </si>
  <si>
    <t>Différents types de tests sont-ils réalisés (tabletop, techniques, à grande échelle) ?</t>
  </si>
  <si>
    <t>S’assurer qu’une variété de tests (tabletop, techniques, à grande échelle) est réalisée afin d’évaluer de manière complète les différents aspects du PCA.</t>
  </si>
  <si>
    <t>Des ressources de secours sont-elles disponibles et documentées ?</t>
  </si>
  <si>
    <t>S’assurer que des ressources de secours sont disponibles et correctement documentées afin de garantir la continuité en cas de défaillance des ressources.</t>
  </si>
  <si>
    <t>Votre organisation dispose-t-elle d’une solution de réplication et/ou de sauvegarde des données ?</t>
  </si>
  <si>
    <t>Surveillance</t>
  </si>
  <si>
    <t>Incomplet</t>
  </si>
  <si>
    <t>Exécuté</t>
  </si>
  <si>
    <t>Maîtrisé</t>
  </si>
  <si>
    <t>Établi</t>
  </si>
  <si>
    <t>Prévisible</t>
  </si>
  <si>
    <t>Optimisé</t>
  </si>
  <si>
    <t>Continuité de la communication</t>
  </si>
  <si>
    <t>Mise en place de canaux de communication alternatifs et sécurisés en cas de compromission des systèmes internes</t>
  </si>
  <si>
    <t>S’assurer que la communication interne et externe peut être maintenue même en cas d’indisponibilité ou de compromission des systèmes d’information</t>
  </si>
  <si>
    <t>Plan de communication de crise ; liste des canaux alternatifs (messagerie externe, téléphones, outils hors SI interne) ; procédures de bascule ; tests de continuité</t>
  </si>
  <si>
    <t>Mise en place d’outils de monitoring en temps réel (SIEM, EDR, NDR)</t>
  </si>
  <si>
    <t>Assurer une détection rapide et proactive des incidents majeurs</t>
  </si>
  <si>
    <t>Outils SIEM/EDR/NDR ; tableaux de bord de supervision ; alertes en temps réel ; procédures de surveillance</t>
  </si>
  <si>
    <t>Définition de procédures d’isolement des systèmes compromis</t>
  </si>
  <si>
    <t>Élaboration et mise à disposition de runbooks pour les scénarios cyber majeurs</t>
  </si>
  <si>
    <t>Réduire la propagation des incidents et limiter leur impact</t>
  </si>
  <si>
    <t>Standardiser et accélérer la réponse aux incidents critiques</t>
  </si>
  <si>
    <t>Procédures d’isolement ; playbooks SOC ; journaux d’intervention ; rapports d’incident</t>
  </si>
  <si>
    <t>Runbooks documentés ; playbooks d’intervention ; documentation SOC ; guides opérationnels</t>
  </si>
  <si>
    <t>Contractualisation avec un prestataire de réponse à incident (IR)</t>
  </si>
  <si>
    <t>Garantir un support expert en cas de crise cyber majeure</t>
  </si>
  <si>
    <t>Contrats IR ; SLA ; coordonnées du prestataire ; procédures d’escalade</t>
  </si>
  <si>
    <t>Intégration des parties prenantes externes dans la gestion de crise</t>
  </si>
  <si>
    <t>Mise en place de mécanismes de communication avec CERT/autorités</t>
  </si>
  <si>
    <t>Faciliter la collaboration avec les autorités compétentes</t>
  </si>
  <si>
    <t>Assurer une coordination efficace avec fournisseurs et partenaires</t>
  </si>
  <si>
    <t>Plan de gestion de crise ; liste des contacts ; procédures de coordination externe</t>
  </si>
  <si>
    <t>Procédures de notification ; registre réglementaire ; rapports de conformité</t>
  </si>
  <si>
    <t>Suivi des indicateurs MTTD et MTTR</t>
  </si>
  <si>
    <t>Évaluation régulière des performances en gestion de crise</t>
  </si>
  <si>
    <t>Mesurer la performance de détection et de réponse</t>
  </si>
  <si>
    <t>Améliorer en continu les capacités de réponse</t>
  </si>
  <si>
    <t>Tableaux de bord KPI ; rapports SOC ; indicateurs de performance</t>
  </si>
  <si>
    <t>Rapports d’audit ; REX ; tableaux de performance ; comptes rendus</t>
  </si>
  <si>
    <t>Mise en place d’une capacité de Threat Intelligence</t>
  </si>
  <si>
    <t>Analyse des incidents de sécurité et retour d’expérience</t>
  </si>
  <si>
    <t>Anticiper les menaces et améliorer la détection</t>
  </si>
  <si>
    <t>Réduire les incidents récurrents et améliorer la posture de sécurité</t>
  </si>
  <si>
    <t>Rapports CTI ; flux de renseignement ; outils TI ; analyses de menaces</t>
  </si>
  <si>
    <t>Rapports d’incident ; base de données incidents ; analyses de tendances</t>
  </si>
  <si>
    <t>Organisation d’exercices de simulation de crise</t>
  </si>
  <si>
    <t>Tester et améliorer la préparation de l’organisation</t>
  </si>
  <si>
    <t>Rapports d’exercice ; scénarios de crise ; comptes rendus</t>
  </si>
  <si>
    <t>Activation réelle de la cellule de crise</t>
  </si>
  <si>
    <t>Évaluer l’efficacité en conditions réelles</t>
  </si>
  <si>
    <t>Rapports d’incident ; comptes rendus de crise ; REX</t>
  </si>
  <si>
    <t>Mise en place d’une organisation de crise disponible 24/7</t>
  </si>
  <si>
    <t>Garantir une réponse immédiate aux incidents majeurs</t>
  </si>
  <si>
    <t>Planning d’astreinte ; organisation SOC ; procédures d’escalade</t>
  </si>
  <si>
    <t>Définition d’un espace dédié de gestion de crise</t>
  </si>
  <si>
    <t>Assurer une gestion structurée des crises</t>
  </si>
  <si>
    <t>Salle de crise ; outils collaboratifs ; plateformes de gestion de crise</t>
  </si>
  <si>
    <t>Mise en place de procédures d’identification et de protection des données compromises</t>
  </si>
  <si>
    <t>Limiter l’impact sur les données sensibles</t>
  </si>
  <si>
    <t>Procédures de gestion des données ; classification ; journaux d’accès</t>
  </si>
  <si>
    <t>Mise en œuvre de procédures de restauration sécurisée des systèmes</t>
  </si>
  <si>
    <t>Réalisation de contrôles post-crise avant remise en production</t>
  </si>
  <si>
    <t>Assurer une reprise fiable et sécurisée des activités</t>
  </si>
  <si>
    <t>Éviter la réintroduction de vulnérabilités</t>
  </si>
  <si>
    <t>Rapports de validation ; tests post-restauration ; audits</t>
  </si>
  <si>
    <t>procédures de restauration ; journaux de repris</t>
  </si>
  <si>
    <t>Opérationnelle</t>
  </si>
  <si>
    <t>CERT</t>
  </si>
  <si>
    <t>Fournisseurs</t>
  </si>
  <si>
    <t>KPI</t>
  </si>
  <si>
    <t>Threat Intelligence</t>
  </si>
  <si>
    <t>Tests</t>
  </si>
  <si>
    <t>Historique</t>
  </si>
  <si>
    <t>Ressources</t>
  </si>
  <si>
    <t>Validation</t>
  </si>
  <si>
    <t>Restauration</t>
  </si>
  <si>
    <t>Data</t>
  </si>
  <si>
    <t>Mise en place de contrôles d’accès physique, surveillance et protection des sites</t>
  </si>
  <si>
    <t>Assurer la protection des infrastructures critiques contre les accès non autorisés</t>
  </si>
  <si>
    <t>Contrôles d’accès physiques ; vidéosurveillance ; systèmes d’alarme ; registres d’accès</t>
  </si>
  <si>
    <t>Définition des exigences de sécurité des logiciels et gestion des mises à jour</t>
  </si>
  <si>
    <t>Assurer la sécurité et la conformité des terminaux utilisateurs</t>
  </si>
  <si>
    <t>Politique de gestion des correctifs ; inventaire logiciel ; outils de gestion des endpoints</t>
  </si>
  <si>
    <t>Analyse systématique des données entrantes</t>
  </si>
  <si>
    <t>Prévenir l’introduction de logiciels malveillants via des supports externes ou réseaux</t>
  </si>
  <si>
    <t>Solutions antivirus ; passerelles de sécurité ; rapports d’analyse</t>
  </si>
  <si>
    <t>Déploiement d’outils anti-malware à jour</t>
  </si>
  <si>
    <t>Détecter et supprimer les programmes malveillants efficacement</t>
  </si>
  <si>
    <t>Antivirus/EDR ; journaux de mise à jour ; rapports de détection</t>
  </si>
  <si>
    <t>Vérification de l’intégrité des mises à jour</t>
  </si>
  <si>
    <t>Garantir que seules des mises à jour fiables sont installées</t>
  </si>
  <si>
    <t>Signatures numériques ; journaux de validation ; politiques de patching</t>
  </si>
  <si>
    <t>Réalisation de tests de sécurité réguliers</t>
  </si>
  <si>
    <t>Identifier et corriger les vulnérabilités</t>
  </si>
  <si>
    <t>Rapports de pentest ; scans de vulnérabilités</t>
  </si>
  <si>
    <t>Mise en place de contrôles d’accès aux données sensibles</t>
  </si>
  <si>
    <t>Contrôle des périphériques amovibles</t>
  </si>
  <si>
    <t>Déploiement de solutions DLP</t>
  </si>
  <si>
    <t>Limiter l’accès aux données selon le principe du moindre privilège</t>
  </si>
  <si>
    <t>Réduire les risques d’exfiltration de données</t>
  </si>
  <si>
    <t>Prévenir et détecter les fuites de données</t>
  </si>
  <si>
    <t>Politiques USB ; journaux d’accès ; solutions de contrôle des périphériques</t>
  </si>
  <si>
    <t>Solutions DLP ; rapports d’alerte ; politiques de sécurité</t>
  </si>
  <si>
    <t>Programme de blockage; journaux d’accès ; revues des droits</t>
  </si>
  <si>
    <t>Mise en place de mécanismes de redondance des systèmes critiques</t>
  </si>
  <si>
    <t>Assurer la continuité de service</t>
  </si>
  <si>
    <t>Architectures redondantes ; documentation technique ; tests de bascule</t>
  </si>
  <si>
    <t>Sauvegarde et gestion des configurations réseau</t>
  </si>
  <si>
    <t>Segmentation réseau et contrôle des protocoles</t>
  </si>
  <si>
    <t>Mise en place de contrôles d’accès réseau</t>
  </si>
  <si>
    <t>Chiffrement des données et gestion des impacts sur la sécurité</t>
  </si>
  <si>
    <t>Assurer l’intégrité et la restauration des configurations</t>
  </si>
  <si>
    <t>Limiter la propagation des menaces</t>
  </si>
  <si>
    <t>Protéger les ressources réseau contre les accès non autorisés</t>
  </si>
  <si>
    <t>Protéger la confidentialité et l’intégrité des données</t>
  </si>
  <si>
    <t>Sauvegardes de configuration ; outils de gestion réseau ; historiques de version</t>
  </si>
  <si>
    <t>Architecture réseau ; VLAN ; règles de filtrage ; documentation des protocoles</t>
  </si>
  <si>
    <t>Firewalls ; ACL ; journaux de filtrage ; configurations réseau</t>
  </si>
  <si>
    <t>certificats ; journaux ; outils d’inspection TLS</t>
  </si>
  <si>
    <t>Existe-t-il une repartition des  responsabilite pour chaque acteur et procedure operationelles ?</t>
  </si>
  <si>
    <t>Existe-t-il une politique qui definie la modaliter et les ligne a suivre en terme de communication interne et externe dans le cas d'un crise cyber ?</t>
  </si>
  <si>
    <t>Qui a l'autorite de decision directionnelle en cas de crise cyber? Cette information est t-elle communiqué ?</t>
  </si>
  <si>
    <t xml:space="preserve">Exsite t-il des cas specifique ou de periode qui declanche la revision du cadre de gouvernance ? </t>
  </si>
  <si>
    <t>Exsite t-il un document formel de plan de contunite d'activite ?</t>
  </si>
  <si>
    <t>Les versions des documents sont-elles contrôlées et régulièrement mises à jour ?</t>
  </si>
  <si>
    <t>Les procédures de sauvegarde et de restauration des données sont-elles formellement documentées</t>
  </si>
  <si>
    <t>Des stratégies de reprise sont-elles définies pour chaque processus critique</t>
  </si>
  <si>
    <t>Les résultats des tests sont-ils formellement documentés et analysés afin d’identifier les écarts et axes d’amélioration ?</t>
  </si>
  <si>
    <t>Les employés sont-ils sensibilisés au PCA et à leurs rôles</t>
  </si>
  <si>
    <t>Les choix de stratégies de continuité sont-ils formellement justifiés (coût, efficacité, risques) afin de garantir des décisions adaptées et optimisées ?</t>
  </si>
  <si>
    <t>Existe-t-il une grille formelle de qualification des incidents?</t>
  </si>
  <si>
    <t>Des seuils d’escalade vers la gestion de crise sont-ils définis afin de déclencher rapidement les actions appropriées ?</t>
  </si>
  <si>
    <t>Existe-t-il des playbooks formels de confinement et de réponse pour les scénarios d’incidents majeurs afin de guider les actions et réduire les erreurs opérationnelles ?</t>
  </si>
  <si>
    <t>Les actions correctives post-incident sont-elles formellement définies et suivies afin de prévenir la récurrence et améliorer la sécurité globale ?</t>
  </si>
  <si>
    <t>Les liens entre la gestion de crise, la gestion des incidents, la continuité d’activité et la sécurité sont-ils formalisés afin d’assurer une coordination efficace et une réponse cohérente aux disruptions ?</t>
  </si>
  <si>
    <t>Le cadre de gouvernance de la gestion de crise cyber est-il formellement documenté, daté et approuvé par l’autorité compétente ?</t>
  </si>
  <si>
    <t>Une périodicité de révision du cadre de gouvernance est-elle définie et respectée, et les versions sont-elles tracées et à jour ?</t>
  </si>
  <si>
    <t>Le personnel clé a-t-il reçu une formation sur la communication de crise afin de garantir une communication claire, cohérente et maîtrisée en situation de crise ?</t>
  </si>
  <si>
    <t>Les membres de la cellule de crise sont-ils formellement désignés afin d’assurer une responsabilité claire et une structure de gouvernance définie</t>
  </si>
  <si>
    <t>Les membres disposent-ils des compétences et aptitudes requises pour leurs rôles ?</t>
  </si>
  <si>
    <t>Les événements ou critères déclenchant l’activation de la cellule de crise sont-ils clairement définis afin d’assurer une réponse rapide et cohérente ?</t>
  </si>
  <si>
    <t>Des pénalités sont-elles prévues en cas de non-respect des exigences afin de garantir la conformité aux obligations de gestion des preuves ?</t>
  </si>
  <si>
    <t>Les contrats avec les prestataires incluent-ils des exigences de performance et de sécurité afin de protéger la gestion et le traitement des preuves ?</t>
  </si>
  <si>
    <t>Les prestataires sont-ils tenus de fournir des rapports d’audit ou des certifications afin de démontrer leur conformité et leur fiabilité ?</t>
  </si>
  <si>
    <t>La durée de conservation respecte-t-elle les exigences légales et réglementaires (ISO 27001) ?</t>
  </si>
  <si>
    <t>La confidentialité des opérations d’accès, de collecte et d’interception des données est-elle strictement respectée afin de protéger le secret professionnel ?</t>
  </si>
  <si>
    <t>Le cadre formel de gouvernance de la gestion de crise cyber est-il documenté, daté et approuvé par l’autorité compétente afin de garantir sa validité et son application ?</t>
  </si>
  <si>
    <t>Les liens entre la gestion de crise, la gestion des incidents, la continuité d’activité et la sécurité sont-ils formalisés ?</t>
  </si>
  <si>
    <t>SCORE DU DOMAIN</t>
  </si>
  <si>
    <t>reference</t>
  </si>
  <si>
    <t xml:space="preserve">Les sites alternatifs sont-ils modifiés ? </t>
  </si>
  <si>
    <t xml:space="preserve">Refernces </t>
  </si>
  <si>
    <t>ISO 22301:2019 8.2.2(b), 8.2.2(f) ; ISO/IEC 27001:2022 Annexe A A.5..9</t>
  </si>
  <si>
    <t>ISO 22301:2019 8.2.2(g), 8.2.2(h)  ISO/IEC 27001:2022 Annexe A A.5.19</t>
  </si>
  <si>
    <t xml:space="preserve">ISO 22301:2019 8.2.2 ;                     ISO/IEC 27001:2022 Annexe A A.5.30 </t>
  </si>
  <si>
    <t>Le PCA couvre-t-il différents types de scénarios avec des procédures de réponse détaillées pour chacun ?</t>
  </si>
  <si>
    <t>ISO 22301:2019 8.4.1, 8.4.4 ;           ISO/IEC 27001:2022 Annexe A A.5.29</t>
  </si>
  <si>
    <t>ISO 22301:2019 8.4.3 ;                     ISO/IEC 27001:2022 Annexe A A.5.5</t>
  </si>
  <si>
    <t>ISO 22301:2019 8.4.2.2, 8.4.2.4 ;     ISO/IEC 27001:2022 Annexe A A.5.2</t>
  </si>
  <si>
    <t>Le personnel critique a-t-il été identifié et formé de manière appropriée pour faire face aux perturbations ?</t>
  </si>
  <si>
    <t>ISO 22301:2019 7.2, §7.3 ;               ISO/IEC 27001:2022 Annexe A A.6.3</t>
  </si>
  <si>
    <t>ISO 22301:2019 §8.5 ; ISO/IEC 27001:2022 Annexe A A.5.30</t>
  </si>
  <si>
    <t>ISO 22301:2019 §8.3.4(b), §8.3.4(e) ; ISO/IEC 27001:2022 Annexe A A.8.13, A.8.14</t>
  </si>
  <si>
    <t>ISO 22301:2019 8.3.4, 8.3.5, 8.5 ;     ISO/IEC 27001:2022 Annexe A A.5.30</t>
  </si>
  <si>
    <t>ISO 22301:2019 8.6, 10.2 ;               ISO/IEC 27001:2022 Annexe A A.5.27</t>
  </si>
  <si>
    <t>iso 27037 clause 6 + annexe A  ; ISO/IEC 27001:2022 - 5.28</t>
  </si>
  <si>
    <t>iso 27037 clause 6-7 . ISO/IEC 27001:2022 - 5.28</t>
  </si>
  <si>
    <t>iso 27037 clause 6 . ISO/IEC 27001:2022 6A.8.3 + A.8.15</t>
  </si>
  <si>
    <t>iso 27037 clause 6 . ISO/IEC 27001:2022 -A.8.13</t>
  </si>
  <si>
    <t>iso 27037 clause 6+7 + Annexe B . ISO/IEC 27001:2022- A.7.8 + A.8.15</t>
  </si>
  <si>
    <t>iso 27037 clause 6+7 + Annexe B . ISO/IEC 27001:2022- A.5.28 + A.8.15</t>
  </si>
  <si>
    <t>iso 27037 clause 5 . ISO/IEC 27001:2022 - 5.28</t>
  </si>
  <si>
    <t>iso 27037 clause 6 . ISO/IEC 27001:2022 - 5.28</t>
  </si>
  <si>
    <t>La cellule de gestion de crise est-elle formellement établie au sein de l’organisation ?</t>
  </si>
  <si>
    <t>S’assurer que la cellule de gestion de crise est formellement établie au sein de l’organisation afin de garantir sa légitimité, sa structure et une autorité claire pour la gestion des situations de crise.</t>
  </si>
  <si>
    <t>Refernces</t>
  </si>
  <si>
    <t>NIST 800-61r3 – DE.CM-01 / DE.CM-09
CSF 2.0 – DE.CM (Continuous Monitoring)
27002 – 8.15 / 8.16</t>
  </si>
  <si>
    <t>NIST 800-61r3 – RS.MA-03 / RS.AN-06
CSF 2.0 – RS.MA (Incident Management)
27002 – 5.25 / 5.26</t>
  </si>
  <si>
    <t>NIST 800-61r3 – RS.MI-02 / RS.AN-03
CSF 2.0 – RS.MI (Incident Mitigation)
27002 – 5.26</t>
  </si>
  <si>
    <t>NIST 800-61r3 – DE.CM-02 / PR.AA-06
CSF 2.0 – PR.AA (Physical Access)
27002 – 7.1 / 7.2 / 7.4</t>
  </si>
  <si>
    <t>NIST 800-61r3 – DE.CM-09 / PR.PS-02
CSF 2.0 – PR.PS (Platform Security)
27002 – 8.1 / 8.8</t>
  </si>
  <si>
    <t>Quelles exigences sont définies concernant les logiciels installés sur les terminaux des utilisateurs finaux, et comment et comment les mises à jour sont-elles assurées ?</t>
  </si>
  <si>
    <t>NIST 800-61r3 – DE.CM-09 / RS.MI-01
CSF 2.0 – DE.CM-09
27002 – 8.7</t>
  </si>
  <si>
    <t>NIST 800-61r3 – DE.CM-09 / RS.MI-01
CSF 2.0 – PR.PS / DE.CM
27002 – 8.7</t>
  </si>
  <si>
    <t>NIST 800-61r3 – ID.RA-09 / PR.PS-02
CSF 2.0 – PR.PS-02 / ID.RA-09
27002 – 8.8 / 8.9</t>
  </si>
  <si>
    <t>NIST 800-61r3 – ID.IM-02 / ID.RA-05
CSF 2.0 – ID.IM-02 (Tests &amp; Exercises)
27002 – 8.8</t>
  </si>
  <si>
    <t>NIST 800-61r3 – PR.AA-05
CSF 2.0 – PR.AA-05 (Least Privilege)
27002 – 5.15 / 8.3</t>
  </si>
  <si>
    <t>NIST 800-61r3 – PR.PS-05
CSF 2.0 – PR.PS-05
27002 – 7.10 / 8.1</t>
  </si>
  <si>
    <t>NIST 800-61r3 – DE.CM-09 / PR.DS-01
CSF 2.0 – PR.DS (Data Security)
27002 – 8.12</t>
  </si>
  <si>
    <t>NIST 800-61r3 – PR.IR-03 / PR.IR-04
CSF 2.0 – PR.IR (Infrastructure Resilience)
27002 – 8.14</t>
  </si>
  <si>
    <t>NIST 800-61r3 – PR.PS-01 / RC.RP-03
CSF 2.0 – PR.PS-01 / RC.RP
27002 – 8.9 / 8.13</t>
  </si>
  <si>
    <t>NIST 800-61r3 – PR.IR-01 / DE.CM-01
CSF 2.0 – PR.IR-01 / DE.CM-01
27002 – 8.20 / 8.22</t>
  </si>
  <si>
    <t>NIST 800-61r3 – PR.IR-01 / DE.CM-01
CSF 2.0 – PR.AA / PR.IR-01
27002 – 8.20 / 8.21</t>
  </si>
  <si>
    <t>NIST 800-61r3 – PR.DS-01 / PR.DS-02
CSF 2.0 – PR.DS (Data Security)
27002 – 8.24</t>
  </si>
  <si>
    <t xml:space="preserve">ISO/IEC 27002:2022, 5.24 / 5.26 / 5.14 ; NIST SP 800-61 Rev.3 / NIST CSF 2.0, RS.CO
</t>
  </si>
  <si>
    <t>ISO/IEC 27002:2022, 5.24 / 5.26 / 6.3 / 6.8 ; NIST SP 800-61 Rev.3 / NIST CSF 2.0, RS.CO</t>
  </si>
  <si>
    <t>ISO/IEC 27002:2022, 5.29 / 5.30 / 5.14 ; NIST CSF 2.0, PR.IR / RS.CO / RC.CO</t>
  </si>
  <si>
    <t>ISO/IEC 27002:2022, 5.2 / 5.4 / 5.24 ; NIST CSF 2.0, GV.RR / RS.MA</t>
  </si>
  <si>
    <t>ISO/IEC 27002:2022, 8.15 / 8.16 / 8.17 ; NIST CSF 2.0, DE.CM / DE.AE</t>
  </si>
  <si>
    <t>ISO/IEC 27002:2022, 5.26 / 8.7 / 8.20 / 8.22 ; NIST SP 800-61 Rev.3 / NIST CSF 2.0, RS.MI</t>
  </si>
  <si>
    <t>ISO/IEC 27002:2022, 5.26 / 5.37 ; NIST SP 800-61 Rev.3 / NIST CSF 2.0, RS.MA / RS.MI</t>
  </si>
  <si>
    <t>ISO/IEC 27002:2022, 5.19 / 5.20 / 5.21 / 5.22 ; NIST CSF 2.0, GV.SC / RS.MA</t>
  </si>
  <si>
    <t>ISO/IEC 27002:2022, 5.5 / 5.6 / 5.24 / 6.8 ; NIST SP 800-61 Rev.3 / NIST CSF 2.0, RS.CO</t>
  </si>
  <si>
    <t>ISO/IEC 27002:2022, 5.19 / 5.20 / 5.21 / 5.22 / 5.23 ; NIST CSF 2.0, GV.SC / RS.CO</t>
  </si>
  <si>
    <t>ISO/IEC 27002:2022, 5.25 / 5.26 / 8.16 ; NIST SP 800-61 Rev.3 / NIST CSF 2.0, DE.CM / RS.MA / ID.IM</t>
  </si>
  <si>
    <t>ISO/IEC 27002:2022, 5.27 / 5.35 / 5.36 / 5.37 ; NIST CSF 2.0, ID.IM</t>
  </si>
  <si>
    <t>ISO/IEC 27002:2022, 5.7 / 8.16 ; NIST CSF 2.0, ID.RA / DE.CM</t>
  </si>
  <si>
    <t>ISO/IEC 27002:2022, 5.27 / 5.24 / 5.26 ; NIST SP 800-61 Rev.3 / NIST CSF 2.0, RS.AN / ID.IM</t>
  </si>
  <si>
    <t>ISO/IEC 27002:2022, 5.24 / 5.29 / 5.30 ; NIST CSF 2.0, ID.IM / PR.IR</t>
  </si>
  <si>
    <t>ISO/IEC 27002:2022, 5.27 ; NIST CSF 2.0, ID.IM</t>
  </si>
  <si>
    <t>ISO/IEC 27002:2022, 5.2 / 5.4 / 5.24 / 5.26 ; NIST CSF 2.0, GV.RR / RS.MA</t>
  </si>
  <si>
    <t>ISO/IEC 27002:2022, 7.1 / 7.2 / 5.29 / 5.30 ; NIST CSF 2.0, PR.IR / RS.MA</t>
  </si>
  <si>
    <t>ISO/IEC 27002:2022, 5.12 / 5.13 / 5.34 / 8.12 / 8.15 ; NIST CSF 2.0, PR.DS / RS.AN / RS.MA</t>
  </si>
  <si>
    <t>ISO/IEC 27002:2022, 5.30 / 8.13 / 8.14 ; NIST SP 800-61 Rev.3 / NIST CSF 2.0, RC.RP / RC.CO</t>
  </si>
  <si>
    <t>ISO/IEC 27002:2022, 5.27 / 8.8 / 8.29 / 8.32 ; NIST CSF 2.0, ID.IM / RC.RP</t>
  </si>
  <si>
    <t>ATTRIBUTE</t>
  </si>
  <si>
    <t>VALUE</t>
  </si>
  <si>
    <t>Score Du Domaine</t>
  </si>
  <si>
    <t>Nb Question App</t>
  </si>
  <si>
    <t>DOMAINE</t>
  </si>
  <si>
    <t>POID</t>
  </si>
  <si>
    <t xml:space="preserve">Gouvernance </t>
  </si>
  <si>
    <t xml:space="preserve"> Forensics</t>
  </si>
  <si>
    <t>Continuité d’activité</t>
  </si>
  <si>
    <t>Gestion de crise</t>
  </si>
  <si>
    <t xml:space="preserve"> Gestion Incidents</t>
  </si>
  <si>
    <t>Confirmitee</t>
  </si>
  <si>
    <t>Nb App</t>
  </si>
  <si>
    <t>Nb app</t>
  </si>
  <si>
    <t>Ponderation</t>
  </si>
  <si>
    <t>id</t>
  </si>
  <si>
    <t>min_score</t>
  </si>
  <si>
    <t>max_score</t>
  </si>
  <si>
    <t>order</t>
  </si>
  <si>
    <t>label</t>
  </si>
  <si>
    <t>NbQuestion</t>
  </si>
  <si>
    <t>NbQuestionApp</t>
  </si>
  <si>
    <t>ScoreDomain</t>
  </si>
  <si>
    <t>Auditeur</t>
  </si>
  <si>
    <t>Oumayma</t>
  </si>
  <si>
    <t>Dhia</t>
  </si>
</sst>
</file>

<file path=xl/styles.xml><?xml version="1.0" encoding="utf-8"?>
<styleSheet xmlns="http://schemas.openxmlformats.org/spreadsheetml/2006/main">
  <numFmts count="1">
    <numFmt numFmtId="164" formatCode="0.0"/>
  </numFmts>
  <fonts count="17">
    <font>
      <sz val="11"/>
      <color theme="1"/>
      <name val="Calibri"/>
      <family val="2"/>
      <scheme val="minor"/>
    </font>
    <font>
      <sz val="16"/>
      <color theme="1"/>
      <name val="Calibri"/>
      <family val="2"/>
      <scheme val="minor"/>
    </font>
    <font>
      <b/>
      <sz val="12"/>
      <color theme="1"/>
      <name val="Calibri"/>
      <family val="2"/>
      <scheme val="minor"/>
    </font>
    <font>
      <sz val="8"/>
      <name val="Calibri"/>
      <family val="2"/>
      <scheme val="minor"/>
    </font>
    <font>
      <b/>
      <sz val="11"/>
      <color theme="1"/>
      <name val="Calibri"/>
      <family val="2"/>
      <scheme val="minor"/>
    </font>
    <font>
      <b/>
      <sz val="16"/>
      <color theme="1"/>
      <name val="Calibri"/>
      <family val="2"/>
      <scheme val="minor"/>
    </font>
    <font>
      <b/>
      <sz val="10"/>
      <color theme="0"/>
      <name val="Calibri"/>
      <family val="2"/>
      <scheme val="minor"/>
    </font>
    <font>
      <b/>
      <sz val="10"/>
      <color theme="1"/>
      <name val="Calibri"/>
      <family val="2"/>
      <scheme val="minor"/>
    </font>
    <font>
      <b/>
      <sz val="11"/>
      <color rgb="FF000000"/>
      <name val="Calibri"/>
      <family val="2"/>
      <scheme val="minor"/>
    </font>
    <font>
      <b/>
      <sz val="10"/>
      <color rgb="FFFFFFFF"/>
      <name val="Calibri"/>
      <family val="2"/>
      <scheme val="minor"/>
    </font>
    <font>
      <sz val="100"/>
      <color theme="1"/>
      <name val="Calibri"/>
      <family val="2"/>
      <scheme val="minor"/>
    </font>
    <font>
      <b/>
      <sz val="11"/>
      <color theme="0"/>
      <name val="Calibri"/>
      <family val="2"/>
      <scheme val="minor"/>
    </font>
    <font>
      <b/>
      <sz val="18"/>
      <color theme="1"/>
      <name val="Calibri"/>
      <family val="2"/>
      <scheme val="minor"/>
    </font>
    <font>
      <sz val="28"/>
      <color theme="1"/>
      <name val="Calibri"/>
      <family val="2"/>
      <scheme val="minor"/>
    </font>
    <font>
      <b/>
      <sz val="28"/>
      <color theme="1"/>
      <name val="Calibri"/>
      <family val="2"/>
      <scheme val="minor"/>
    </font>
    <font>
      <sz val="72"/>
      <color theme="1"/>
      <name val="Calibri"/>
      <family val="2"/>
      <scheme val="minor"/>
    </font>
    <font>
      <sz val="36"/>
      <color theme="1"/>
      <name val="Calibri"/>
      <family val="2"/>
      <scheme val="minor"/>
    </font>
  </fonts>
  <fills count="12">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rgb="FF006533"/>
        <bgColor indexed="64"/>
      </patternFill>
    </fill>
    <fill>
      <patternFill patternType="solid">
        <fgColor theme="0"/>
        <bgColor indexed="64"/>
      </patternFill>
    </fill>
    <fill>
      <patternFill patternType="solid">
        <fgColor rgb="FF006533"/>
        <bgColor rgb="FF000000"/>
      </patternFill>
    </fill>
    <fill>
      <patternFill patternType="solid">
        <fgColor theme="9" tint="0.39997558519241921"/>
        <bgColor indexed="64"/>
      </patternFill>
    </fill>
    <fill>
      <patternFill patternType="solid">
        <fgColor theme="5" tint="0.79998168889431442"/>
        <bgColor indexed="64"/>
      </patternFill>
    </fill>
    <fill>
      <patternFill patternType="solid">
        <fgColor rgb="FFFF5050"/>
        <bgColor indexed="64"/>
      </patternFill>
    </fill>
    <fill>
      <patternFill patternType="solid">
        <fgColor theme="3" tint="0.79998168889431442"/>
        <bgColor indexed="64"/>
      </patternFill>
    </fill>
  </fills>
  <borders count="25">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diagonalDown="1">
      <left style="thin">
        <color indexed="64"/>
      </left>
      <right style="thin">
        <color indexed="64"/>
      </right>
      <top style="thin">
        <color indexed="64"/>
      </top>
      <bottom style="thin">
        <color indexed="64"/>
      </bottom>
      <diagonal style="thin">
        <color indexed="64"/>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00">
    <xf numFmtId="0" fontId="0" fillId="0" borderId="0" xfId="0"/>
    <xf numFmtId="0" fontId="2" fillId="0" borderId="3" xfId="0" applyFont="1" applyBorder="1" applyAlignment="1">
      <alignment horizontal="center" vertical="center" wrapText="1"/>
    </xf>
    <xf numFmtId="0" fontId="0" fillId="0" borderId="3" xfId="0" applyBorder="1" applyAlignment="1">
      <alignment vertical="center" wrapText="1"/>
    </xf>
    <xf numFmtId="0" fontId="0" fillId="0" borderId="3" xfId="0" applyBorder="1" applyAlignment="1">
      <alignment horizontal="center" vertical="center"/>
    </xf>
    <xf numFmtId="0" fontId="0" fillId="0" borderId="3" xfId="0" applyBorder="1" applyAlignment="1">
      <alignment horizontal="center" vertical="center" wrapText="1"/>
    </xf>
    <xf numFmtId="0" fontId="0" fillId="3" borderId="0" xfId="0" applyFill="1"/>
    <xf numFmtId="9" fontId="6" fillId="5" borderId="3" xfId="0" applyNumberFormat="1" applyFont="1" applyFill="1" applyBorder="1" applyAlignment="1" applyProtection="1">
      <alignment horizontal="center" vertical="center" wrapText="1"/>
      <protection hidden="1"/>
    </xf>
    <xf numFmtId="0" fontId="0" fillId="0" borderId="3" xfId="0" applyBorder="1"/>
    <xf numFmtId="9" fontId="7" fillId="6" borderId="3" xfId="0" applyNumberFormat="1" applyFont="1" applyFill="1" applyBorder="1" applyAlignment="1" applyProtection="1">
      <alignment horizontal="left" vertical="center" wrapText="1"/>
      <protection hidden="1"/>
    </xf>
    <xf numFmtId="0" fontId="7" fillId="0" borderId="3" xfId="0" applyFont="1" applyBorder="1" applyAlignment="1">
      <alignment horizontal="left" vertical="center" wrapText="1"/>
    </xf>
    <xf numFmtId="0" fontId="4" fillId="0" borderId="3" xfId="0" applyFont="1" applyBorder="1" applyAlignment="1">
      <alignment vertical="center" wrapText="1"/>
    </xf>
    <xf numFmtId="9" fontId="7" fillId="6" borderId="3" xfId="0" applyNumberFormat="1" applyFont="1" applyFill="1" applyBorder="1" applyAlignment="1" applyProtection="1">
      <alignment vertical="center" wrapText="1"/>
      <protection hidden="1"/>
    </xf>
    <xf numFmtId="0" fontId="7" fillId="0" borderId="3" xfId="0" applyFont="1" applyBorder="1" applyAlignment="1">
      <alignment vertical="center" wrapText="1"/>
    </xf>
    <xf numFmtId="9" fontId="6" fillId="5" borderId="3" xfId="0" applyNumberFormat="1" applyFont="1" applyFill="1" applyBorder="1" applyAlignment="1" applyProtection="1">
      <alignment horizontal="center" wrapText="1"/>
      <protection hidden="1"/>
    </xf>
    <xf numFmtId="0" fontId="4" fillId="0" borderId="3" xfId="0" applyFont="1" applyBorder="1" applyAlignment="1">
      <alignment horizontal="center" vertical="center" wrapText="1"/>
    </xf>
    <xf numFmtId="2" fontId="0" fillId="0" borderId="3" xfId="0" applyNumberFormat="1" applyBorder="1" applyAlignment="1">
      <alignment horizontal="center" vertical="center" wrapText="1"/>
    </xf>
    <xf numFmtId="2" fontId="0" fillId="0" borderId="3" xfId="0" applyNumberFormat="1" applyBorder="1" applyAlignment="1">
      <alignment horizontal="center" vertical="center"/>
    </xf>
    <xf numFmtId="164" fontId="0" fillId="0" borderId="3" xfId="0" applyNumberFormat="1" applyBorder="1" applyAlignment="1">
      <alignment horizontal="center" vertical="center"/>
    </xf>
    <xf numFmtId="2" fontId="0" fillId="0" borderId="3" xfId="0" applyNumberFormat="1" applyBorder="1"/>
    <xf numFmtId="0" fontId="4" fillId="3" borderId="0" xfId="0" applyFont="1" applyFill="1" applyAlignment="1">
      <alignment horizontal="center" vertical="center" wrapText="1"/>
    </xf>
    <xf numFmtId="2" fontId="0" fillId="3" borderId="0" xfId="0" applyNumberFormat="1" applyFill="1" applyAlignment="1">
      <alignment horizontal="center" vertical="center"/>
    </xf>
    <xf numFmtId="2" fontId="0" fillId="3" borderId="0" xfId="0" applyNumberFormat="1" applyFill="1"/>
    <xf numFmtId="0" fontId="4" fillId="3" borderId="0" xfId="0" applyFont="1" applyFill="1" applyAlignment="1">
      <alignment horizontal="left" vertical="center" indent="1"/>
    </xf>
    <xf numFmtId="0" fontId="4" fillId="0" borderId="16" xfId="0" applyFont="1" applyBorder="1" applyAlignment="1">
      <alignment horizontal="center" vertical="center" wrapText="1"/>
    </xf>
    <xf numFmtId="0" fontId="0" fillId="0" borderId="3" xfId="0" applyBorder="1" applyAlignment="1">
      <alignment horizontal="left" vertical="center" wrapText="1"/>
    </xf>
    <xf numFmtId="0" fontId="0" fillId="0" borderId="3" xfId="0" applyBorder="1" applyAlignment="1">
      <alignment horizontal="center" wrapText="1"/>
    </xf>
    <xf numFmtId="0" fontId="8" fillId="0" borderId="3" xfId="0" applyFont="1" applyBorder="1" applyAlignment="1">
      <alignment vertical="center" wrapText="1"/>
    </xf>
    <xf numFmtId="0" fontId="7" fillId="6" borderId="3" xfId="0" applyFont="1" applyFill="1" applyBorder="1" applyAlignment="1">
      <alignment horizontal="left" vertical="center" wrapText="1"/>
    </xf>
    <xf numFmtId="0" fontId="4" fillId="6" borderId="3" xfId="0" applyFont="1" applyFill="1" applyBorder="1" applyAlignment="1">
      <alignment horizontal="left" vertical="center" wrapText="1"/>
    </xf>
    <xf numFmtId="0" fontId="7" fillId="6" borderId="3" xfId="0" applyFont="1" applyFill="1" applyBorder="1" applyAlignment="1">
      <alignment wrapText="1"/>
    </xf>
    <xf numFmtId="0" fontId="4" fillId="6" borderId="3" xfId="0" applyFont="1" applyFill="1" applyBorder="1" applyAlignment="1">
      <alignment vertical="center" wrapText="1"/>
    </xf>
    <xf numFmtId="0" fontId="7" fillId="6" borderId="3" xfId="0" applyFont="1" applyFill="1" applyBorder="1" applyAlignment="1">
      <alignment vertical="center" wrapText="1"/>
    </xf>
    <xf numFmtId="0" fontId="4" fillId="6" borderId="3" xfId="0" applyFont="1" applyFill="1" applyBorder="1" applyAlignment="1">
      <alignment wrapText="1"/>
    </xf>
    <xf numFmtId="0" fontId="0" fillId="2" borderId="8" xfId="0" applyFill="1" applyBorder="1" applyAlignment="1">
      <alignment horizontal="center" vertical="center"/>
    </xf>
    <xf numFmtId="0" fontId="0" fillId="0" borderId="16" xfId="0" applyBorder="1"/>
    <xf numFmtId="0" fontId="2" fillId="4" borderId="3" xfId="0" applyFont="1" applyFill="1" applyBorder="1" applyAlignment="1">
      <alignment horizontal="center" vertical="center"/>
    </xf>
    <xf numFmtId="1" fontId="2" fillId="0" borderId="3" xfId="0" applyNumberFormat="1" applyFont="1" applyBorder="1" applyAlignment="1">
      <alignment horizontal="center" vertical="center"/>
    </xf>
    <xf numFmtId="0" fontId="2" fillId="2" borderId="8"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3" xfId="0" applyFont="1" applyFill="1" applyBorder="1" applyAlignment="1">
      <alignment horizontal="center" vertical="center" wrapText="1"/>
    </xf>
    <xf numFmtId="0" fontId="4" fillId="3" borderId="0" xfId="0" applyFont="1" applyFill="1" applyAlignment="1">
      <alignment vertical="center"/>
    </xf>
    <xf numFmtId="1" fontId="4" fillId="0" borderId="3" xfId="0" applyNumberFormat="1" applyFont="1" applyBorder="1"/>
    <xf numFmtId="0" fontId="0" fillId="0" borderId="3" xfId="0" applyBorder="1" applyAlignment="1">
      <alignment wrapText="1"/>
    </xf>
    <xf numFmtId="9" fontId="9" fillId="7" borderId="3" xfId="0" applyNumberFormat="1" applyFont="1" applyFill="1" applyBorder="1" applyAlignment="1" applyProtection="1">
      <alignment horizontal="center" vertical="center" wrapText="1"/>
      <protection hidden="1"/>
    </xf>
    <xf numFmtId="0" fontId="5" fillId="0" borderId="3" xfId="0" applyFont="1" applyBorder="1" applyAlignment="1">
      <alignment horizontal="left" vertical="center" wrapText="1"/>
    </xf>
    <xf numFmtId="0" fontId="7" fillId="0" borderId="0" xfId="0" applyFont="1" applyAlignment="1">
      <alignment vertical="center" wrapText="1"/>
    </xf>
    <xf numFmtId="0" fontId="4" fillId="0" borderId="0" xfId="0" applyFont="1" applyAlignment="1">
      <alignment vertical="center" wrapText="1"/>
    </xf>
    <xf numFmtId="0" fontId="4" fillId="0" borderId="0" xfId="0" applyFont="1"/>
    <xf numFmtId="0" fontId="0" fillId="0" borderId="0" xfId="0" applyAlignment="1">
      <alignment horizontal="left"/>
    </xf>
    <xf numFmtId="0" fontId="0" fillId="0" borderId="0" xfId="0" applyAlignment="1">
      <alignment vertical="center" wrapText="1"/>
    </xf>
    <xf numFmtId="0" fontId="0" fillId="6" borderId="0" xfId="0" applyFill="1"/>
    <xf numFmtId="0" fontId="0" fillId="6" borderId="0" xfId="0" applyFill="1" applyAlignment="1">
      <alignment vertical="center" wrapText="1"/>
    </xf>
    <xf numFmtId="0" fontId="0" fillId="6" borderId="0" xfId="0" applyFill="1" applyAlignment="1">
      <alignment horizontal="left"/>
    </xf>
    <xf numFmtId="0" fontId="0" fillId="9" borderId="0" xfId="0" applyFill="1" applyAlignment="1">
      <alignment horizontal="center"/>
    </xf>
    <xf numFmtId="9" fontId="6" fillId="5" borderId="0" xfId="0" applyNumberFormat="1" applyFont="1" applyFill="1" applyAlignment="1" applyProtection="1">
      <alignment horizontal="center" vertical="center" wrapText="1"/>
      <protection hidden="1"/>
    </xf>
    <xf numFmtId="9" fontId="11" fillId="5" borderId="3" xfId="0" applyNumberFormat="1" applyFont="1" applyFill="1" applyBorder="1" applyAlignment="1" applyProtection="1">
      <alignment horizontal="center" vertical="center" wrapText="1"/>
      <protection hidden="1"/>
    </xf>
    <xf numFmtId="9" fontId="11" fillId="5" borderId="0" xfId="0" applyNumberFormat="1" applyFont="1" applyFill="1" applyAlignment="1" applyProtection="1">
      <alignment horizontal="center" vertical="center" wrapText="1"/>
      <protection hidden="1"/>
    </xf>
    <xf numFmtId="0" fontId="10" fillId="0" borderId="0" xfId="0" applyFont="1" applyAlignment="1">
      <alignment vertical="center"/>
    </xf>
    <xf numFmtId="0" fontId="12" fillId="0" borderId="17" xfId="0" applyFont="1" applyBorder="1" applyAlignment="1">
      <alignment horizontal="center" vertical="center"/>
    </xf>
    <xf numFmtId="0" fontId="0" fillId="9" borderId="0" xfId="0" applyFill="1"/>
    <xf numFmtId="0" fontId="0" fillId="0" borderId="3" xfId="0" applyBorder="1" applyAlignment="1">
      <alignment horizontal="left" vertical="center"/>
    </xf>
    <xf numFmtId="0" fontId="0" fillId="0" borderId="7" xfId="0" applyBorder="1" applyAlignment="1">
      <alignment horizontal="center" vertical="center" wrapText="1"/>
    </xf>
    <xf numFmtId="0" fontId="4" fillId="8" borderId="3" xfId="0" applyFont="1" applyFill="1" applyBorder="1" applyAlignment="1">
      <alignment horizontal="center" vertical="center" wrapText="1"/>
    </xf>
    <xf numFmtId="0" fontId="0" fillId="8" borderId="3" xfId="0" applyFill="1" applyBorder="1"/>
    <xf numFmtId="0" fontId="4" fillId="8" borderId="3" xfId="0" applyFont="1" applyFill="1" applyBorder="1"/>
    <xf numFmtId="0" fontId="0" fillId="0" borderId="7" xfId="0" applyBorder="1" applyAlignment="1">
      <alignment wrapText="1"/>
    </xf>
    <xf numFmtId="0" fontId="0" fillId="0" borderId="0" xfId="0" applyAlignment="1">
      <alignment horizontal="center" vertical="center" wrapText="1"/>
    </xf>
    <xf numFmtId="0" fontId="10" fillId="6" borderId="0" xfId="0" applyFont="1" applyFill="1" applyAlignment="1">
      <alignment horizontal="center" vertical="center"/>
    </xf>
    <xf numFmtId="0" fontId="0" fillId="6" borderId="3" xfId="0" applyFill="1" applyBorder="1" applyAlignment="1">
      <alignment horizontal="left" vertical="center" wrapText="1"/>
    </xf>
    <xf numFmtId="0" fontId="0" fillId="0" borderId="6" xfId="0" applyBorder="1" applyAlignment="1">
      <alignment vertical="center" wrapText="1"/>
    </xf>
    <xf numFmtId="0" fontId="0" fillId="6" borderId="3" xfId="0" applyFill="1" applyBorder="1" applyAlignment="1">
      <alignment vertical="center" wrapText="1"/>
    </xf>
    <xf numFmtId="0" fontId="0" fillId="0" borderId="3" xfId="0" applyBorder="1" applyAlignment="1">
      <alignment vertical="center"/>
    </xf>
    <xf numFmtId="0" fontId="0" fillId="0" borderId="0" xfId="0" applyAlignment="1">
      <alignment horizontal="left" vertical="center" wrapText="1"/>
    </xf>
    <xf numFmtId="0" fontId="0" fillId="0" borderId="0" xfId="0" applyAlignment="1">
      <alignment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4" xfId="0" applyBorder="1" applyAlignment="1">
      <alignment vertical="center" wrapText="1"/>
    </xf>
    <xf numFmtId="0" fontId="0" fillId="6" borderId="3" xfId="0" applyFill="1" applyBorder="1" applyAlignment="1">
      <alignment horizontal="center" vertical="center" wrapText="1"/>
    </xf>
    <xf numFmtId="9" fontId="6" fillId="5" borderId="3" xfId="0" applyNumberFormat="1" applyFont="1" applyFill="1" applyBorder="1" applyAlignment="1" applyProtection="1">
      <alignment horizontal="left" vertical="center" wrapText="1"/>
      <protection hidden="1"/>
    </xf>
    <xf numFmtId="0" fontId="4" fillId="6" borderId="3" xfId="0" applyFont="1" applyFill="1" applyBorder="1" applyAlignment="1">
      <alignment horizontal="center" vertical="center"/>
    </xf>
    <xf numFmtId="0" fontId="13" fillId="0" borderId="0" xfId="0" applyFont="1" applyAlignment="1">
      <alignment vertical="center"/>
    </xf>
    <xf numFmtId="2" fontId="2" fillId="0" borderId="3" xfId="0" applyNumberFormat="1" applyFont="1" applyBorder="1" applyAlignment="1">
      <alignment horizontal="center" vertical="center"/>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15" xfId="0" applyBorder="1" applyAlignment="1">
      <alignment horizontal="left" vertical="center" wrapText="1"/>
    </xf>
    <xf numFmtId="0" fontId="0" fillId="0" borderId="7" xfId="0" applyBorder="1" applyAlignment="1">
      <alignment vertical="center" wrapText="1"/>
    </xf>
    <xf numFmtId="0" fontId="0" fillId="6" borderId="3" xfId="0" applyFill="1" applyBorder="1"/>
    <xf numFmtId="1" fontId="10" fillId="3" borderId="18" xfId="0" applyNumberFormat="1" applyFont="1" applyFill="1" applyBorder="1" applyAlignment="1">
      <alignment horizontal="center" vertical="center"/>
    </xf>
    <xf numFmtId="1" fontId="10" fillId="8" borderId="23" xfId="0" applyNumberFormat="1" applyFont="1" applyFill="1" applyBorder="1" applyAlignment="1">
      <alignment horizontal="center" vertical="center"/>
    </xf>
    <xf numFmtId="1" fontId="10" fillId="10" borderId="23" xfId="0" applyNumberFormat="1" applyFont="1" applyFill="1" applyBorder="1" applyAlignment="1">
      <alignment horizontal="center" vertical="center"/>
    </xf>
    <xf numFmtId="1" fontId="10" fillId="11" borderId="19" xfId="0" applyNumberFormat="1" applyFont="1" applyFill="1" applyBorder="1" applyAlignment="1">
      <alignment horizontal="center" vertical="center"/>
    </xf>
    <xf numFmtId="1" fontId="0" fillId="0" borderId="0" xfId="0" applyNumberFormat="1"/>
    <xf numFmtId="1" fontId="12" fillId="0" borderId="0" xfId="0" applyNumberFormat="1" applyFont="1" applyAlignment="1">
      <alignment horizontal="center" vertical="center"/>
    </xf>
    <xf numFmtId="1" fontId="10" fillId="0" borderId="0" xfId="0" applyNumberFormat="1" applyFont="1" applyAlignment="1">
      <alignment vertical="center"/>
    </xf>
    <xf numFmtId="2" fontId="0" fillId="0" borderId="0" xfId="0" applyNumberFormat="1"/>
    <xf numFmtId="49" fontId="12" fillId="0" borderId="18" xfId="0" applyNumberFormat="1" applyFont="1" applyBorder="1" applyAlignment="1">
      <alignment horizontal="center" vertical="center"/>
    </xf>
    <xf numFmtId="49" fontId="12" fillId="0" borderId="17" xfId="0" applyNumberFormat="1" applyFont="1" applyBorder="1" applyAlignment="1">
      <alignment horizontal="center" vertical="center"/>
    </xf>
    <xf numFmtId="49" fontId="0" fillId="0" borderId="0" xfId="0" applyNumberFormat="1"/>
    <xf numFmtId="2" fontId="15" fillId="8" borderId="23" xfId="0" applyNumberFormat="1" applyFont="1" applyFill="1" applyBorder="1" applyAlignment="1">
      <alignment horizontal="center" vertical="center"/>
    </xf>
    <xf numFmtId="49" fontId="4" fillId="0" borderId="3" xfId="0" applyNumberFormat="1" applyFont="1" applyBorder="1" applyAlignment="1">
      <alignment horizontal="center" vertical="center" wrapText="1"/>
    </xf>
    <xf numFmtId="49" fontId="4" fillId="0" borderId="0" xfId="0" applyNumberFormat="1" applyFont="1" applyAlignment="1">
      <alignment horizontal="center" vertical="center" wrapText="1"/>
    </xf>
    <xf numFmtId="2" fontId="2" fillId="0" borderId="0" xfId="0" applyNumberFormat="1" applyFont="1" applyAlignment="1">
      <alignment horizontal="center" vertical="center"/>
    </xf>
    <xf numFmtId="0" fontId="12" fillId="0" borderId="18" xfId="0" applyFont="1" applyBorder="1" applyAlignment="1">
      <alignment vertical="center"/>
    </xf>
    <xf numFmtId="2" fontId="14" fillId="8" borderId="18" xfId="0" applyNumberFormat="1" applyFont="1" applyFill="1" applyBorder="1" applyAlignment="1">
      <alignment horizontal="center" vertical="center"/>
    </xf>
    <xf numFmtId="0" fontId="10" fillId="3" borderId="18" xfId="0" applyFont="1" applyFill="1" applyBorder="1" applyAlignment="1">
      <alignment vertical="center"/>
    </xf>
    <xf numFmtId="0" fontId="10" fillId="3" borderId="17" xfId="0" applyFont="1" applyFill="1" applyBorder="1" applyAlignment="1">
      <alignment vertical="center"/>
    </xf>
    <xf numFmtId="1" fontId="10" fillId="8" borderId="17" xfId="0" applyNumberFormat="1" applyFont="1" applyFill="1" applyBorder="1" applyAlignment="1">
      <alignment vertical="center"/>
    </xf>
    <xf numFmtId="1" fontId="10" fillId="10" borderId="20" xfId="0" applyNumberFormat="1" applyFont="1" applyFill="1" applyBorder="1" applyAlignment="1">
      <alignment vertical="center"/>
    </xf>
    <xf numFmtId="1" fontId="10" fillId="11" borderId="14" xfId="0" applyNumberFormat="1" applyFont="1" applyFill="1" applyBorder="1" applyAlignment="1">
      <alignment vertical="center"/>
    </xf>
    <xf numFmtId="49" fontId="12" fillId="0" borderId="20" xfId="0" applyNumberFormat="1" applyFont="1" applyBorder="1" applyAlignment="1">
      <alignment horizontal="center" vertical="center"/>
    </xf>
    <xf numFmtId="49" fontId="12" fillId="0" borderId="13" xfId="0" applyNumberFormat="1" applyFont="1" applyBorder="1" applyAlignment="1">
      <alignment horizontal="center" vertical="center"/>
    </xf>
    <xf numFmtId="0" fontId="0" fillId="0" borderId="3" xfId="0" applyBorder="1" applyAlignment="1">
      <alignment horizontal="center"/>
    </xf>
    <xf numFmtId="0" fontId="0" fillId="0" borderId="3" xfId="0" applyBorder="1" applyAlignment="1">
      <alignment horizontal="center" wrapText="1"/>
    </xf>
    <xf numFmtId="0" fontId="4" fillId="0" borderId="3" xfId="0" applyFont="1" applyBorder="1" applyAlignment="1">
      <alignment horizontal="center" vertical="center" wrapText="1"/>
    </xf>
    <xf numFmtId="0" fontId="4" fillId="0" borderId="0" xfId="0" applyFont="1" applyFill="1" applyBorder="1" applyAlignment="1">
      <alignment horizontal="center" vertical="center"/>
    </xf>
    <xf numFmtId="2" fontId="14" fillId="0" borderId="0" xfId="0" applyNumberFormat="1" applyFont="1" applyFill="1" applyBorder="1" applyAlignment="1">
      <alignment horizontal="center" vertical="center"/>
    </xf>
    <xf numFmtId="9" fontId="6" fillId="3" borderId="3" xfId="0" applyNumberFormat="1" applyFont="1" applyFill="1" applyBorder="1" applyAlignment="1" applyProtection="1">
      <alignment horizontal="center" vertical="center" wrapText="1"/>
      <protection hidden="1"/>
    </xf>
    <xf numFmtId="0" fontId="12" fillId="0" borderId="24" xfId="0" applyFont="1" applyBorder="1" applyAlignment="1">
      <alignment horizontal="center" vertical="center"/>
    </xf>
    <xf numFmtId="0" fontId="14" fillId="0" borderId="0" xfId="0" applyFont="1" applyFill="1" applyBorder="1" applyAlignment="1">
      <alignment horizontal="center" vertical="center"/>
    </xf>
    <xf numFmtId="0" fontId="1" fillId="0" borderId="0" xfId="0" quotePrefix="1" applyFont="1" applyBorder="1" applyAlignment="1">
      <alignment horizontal="center" vertical="center" wrapText="1"/>
    </xf>
    <xf numFmtId="0" fontId="4" fillId="0" borderId="3" xfId="0" applyFont="1" applyBorder="1"/>
    <xf numFmtId="0" fontId="4" fillId="0" borderId="3" xfId="0" applyFont="1" applyBorder="1" applyAlignment="1">
      <alignment horizontal="center" wrapText="1"/>
    </xf>
    <xf numFmtId="2" fontId="0" fillId="0" borderId="3" xfId="0" applyNumberFormat="1" applyBorder="1" applyAlignment="1">
      <alignment horizontal="center"/>
    </xf>
    <xf numFmtId="1" fontId="0" fillId="0" borderId="3" xfId="0" applyNumberFormat="1" applyBorder="1" applyAlignment="1">
      <alignment horizontal="center"/>
    </xf>
    <xf numFmtId="0" fontId="0" fillId="0" borderId="3" xfId="0" applyBorder="1" applyAlignment="1">
      <alignment horizontal="center" vertical="center" wrapText="1"/>
    </xf>
    <xf numFmtId="164" fontId="0" fillId="0" borderId="3" xfId="0" applyNumberFormat="1" applyBorder="1" applyAlignment="1">
      <alignment horizontal="center"/>
    </xf>
    <xf numFmtId="1" fontId="16" fillId="11" borderId="19" xfId="0" applyNumberFormat="1" applyFont="1" applyFill="1" applyBorder="1" applyAlignment="1">
      <alignment horizontal="center" vertical="center"/>
    </xf>
    <xf numFmtId="49" fontId="0" fillId="0" borderId="3" xfId="0" applyNumberFormat="1" applyBorder="1"/>
    <xf numFmtId="0" fontId="4" fillId="4" borderId="4" xfId="0" applyFont="1" applyFill="1" applyBorder="1" applyAlignment="1">
      <alignment horizontal="center"/>
    </xf>
    <xf numFmtId="0" fontId="4" fillId="4" borderId="5" xfId="0" applyFont="1" applyFill="1" applyBorder="1" applyAlignment="1">
      <alignment horizontal="center"/>
    </xf>
    <xf numFmtId="0" fontId="4" fillId="4" borderId="6" xfId="0" applyFont="1" applyFill="1" applyBorder="1" applyAlignment="1">
      <alignment horizontal="center"/>
    </xf>
    <xf numFmtId="0" fontId="4" fillId="0" borderId="4" xfId="0" applyFont="1" applyBorder="1" applyAlignment="1">
      <alignment horizontal="left" vertical="center"/>
    </xf>
    <xf numFmtId="0" fontId="4" fillId="0" borderId="6" xfId="0" applyFont="1" applyBorder="1" applyAlignment="1">
      <alignment horizontal="left" vertical="center"/>
    </xf>
    <xf numFmtId="0" fontId="4" fillId="2" borderId="4" xfId="0" applyFont="1" applyFill="1" applyBorder="1" applyAlignment="1">
      <alignment horizontal="center" vertical="center"/>
    </xf>
    <xf numFmtId="0" fontId="4" fillId="2" borderId="6" xfId="0" applyFont="1" applyFill="1" applyBorder="1" applyAlignment="1">
      <alignment horizontal="center" vertical="center"/>
    </xf>
    <xf numFmtId="0" fontId="4" fillId="2" borderId="5" xfId="0" applyFont="1" applyFill="1" applyBorder="1" applyAlignment="1">
      <alignment horizontal="center" vertical="center"/>
    </xf>
    <xf numFmtId="0" fontId="4" fillId="3"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0" fillId="0" borderId="7" xfId="0" applyBorder="1" applyAlignment="1">
      <alignment horizontal="center" vertical="center" wrapText="1"/>
    </xf>
    <xf numFmtId="0" fontId="0" fillId="0" borderId="15" xfId="0" applyBorder="1" applyAlignment="1">
      <alignment horizontal="center" vertical="center" wrapText="1"/>
    </xf>
    <xf numFmtId="0" fontId="0" fillId="0" borderId="8" xfId="0" applyBorder="1" applyAlignment="1">
      <alignment horizontal="center"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3" xfId="0" applyBorder="1" applyAlignment="1">
      <alignment horizontal="center" vertical="center" wrapText="1"/>
    </xf>
    <xf numFmtId="0" fontId="0" fillId="0" borderId="7" xfId="0" applyBorder="1" applyAlignment="1">
      <alignment horizontal="center" vertical="center"/>
    </xf>
    <xf numFmtId="0" fontId="0" fillId="0" borderId="15" xfId="0" applyBorder="1" applyAlignment="1">
      <alignment horizontal="center" vertical="center"/>
    </xf>
    <xf numFmtId="0" fontId="0" fillId="0" borderId="8" xfId="0" applyBorder="1" applyAlignment="1">
      <alignment horizontal="center" vertical="center"/>
    </xf>
    <xf numFmtId="0" fontId="0" fillId="0" borderId="3" xfId="0" applyBorder="1" applyAlignment="1">
      <alignment horizontal="left" vertical="center" wrapText="1"/>
    </xf>
    <xf numFmtId="0" fontId="0" fillId="0" borderId="15" xfId="0" applyBorder="1" applyAlignment="1">
      <alignment horizontal="left" vertical="center" wrapText="1"/>
    </xf>
    <xf numFmtId="0" fontId="0" fillId="0" borderId="7" xfId="0" applyBorder="1" applyAlignment="1">
      <alignment horizontal="left" wrapText="1"/>
    </xf>
    <xf numFmtId="0" fontId="0" fillId="0" borderId="8" xfId="0" applyBorder="1" applyAlignment="1">
      <alignment horizontal="left" wrapText="1"/>
    </xf>
    <xf numFmtId="0" fontId="10" fillId="3" borderId="9"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13" xfId="0" applyFont="1" applyFill="1" applyBorder="1" applyAlignment="1">
      <alignment horizontal="center" vertical="center"/>
    </xf>
    <xf numFmtId="2" fontId="10" fillId="8" borderId="20" xfId="0" applyNumberFormat="1" applyFont="1" applyFill="1" applyBorder="1" applyAlignment="1">
      <alignment horizontal="center" vertical="center"/>
    </xf>
    <xf numFmtId="2" fontId="10" fillId="8" borderId="21" xfId="0" applyNumberFormat="1" applyFont="1" applyFill="1" applyBorder="1" applyAlignment="1">
      <alignment horizontal="center" vertical="center"/>
    </xf>
    <xf numFmtId="2" fontId="10" fillId="8" borderId="22" xfId="0" applyNumberFormat="1" applyFont="1" applyFill="1" applyBorder="1" applyAlignment="1">
      <alignment horizontal="center" vertical="center"/>
    </xf>
    <xf numFmtId="0" fontId="0" fillId="9" borderId="0" xfId="0" applyFill="1" applyAlignment="1">
      <alignment horizontal="center"/>
    </xf>
    <xf numFmtId="0" fontId="0" fillId="9" borderId="2" xfId="0" applyFill="1" applyBorder="1" applyAlignment="1">
      <alignment horizontal="center"/>
    </xf>
    <xf numFmtId="0" fontId="0" fillId="9" borderId="1" xfId="0" applyFill="1" applyBorder="1" applyAlignment="1">
      <alignment horizontal="center"/>
    </xf>
    <xf numFmtId="0" fontId="5" fillId="0" borderId="3" xfId="0" applyFont="1" applyBorder="1" applyAlignment="1">
      <alignment horizontal="left" vertical="center" wrapText="1"/>
    </xf>
    <xf numFmtId="0" fontId="12" fillId="0" borderId="18" xfId="0" applyFont="1" applyBorder="1" applyAlignment="1">
      <alignment horizontal="center" vertical="center"/>
    </xf>
    <xf numFmtId="0" fontId="12" fillId="0" borderId="19" xfId="0" applyFont="1" applyBorder="1" applyAlignment="1">
      <alignment horizontal="center" vertical="center"/>
    </xf>
    <xf numFmtId="0" fontId="10" fillId="3" borderId="10" xfId="0" applyFont="1" applyFill="1" applyBorder="1" applyAlignment="1">
      <alignment horizontal="center" vertical="center"/>
    </xf>
    <xf numFmtId="0" fontId="10" fillId="3" borderId="12" xfId="0" applyFont="1" applyFill="1" applyBorder="1" applyAlignment="1">
      <alignment horizontal="center" vertical="center"/>
    </xf>
    <xf numFmtId="0" fontId="10" fillId="3" borderId="14" xfId="0" applyFont="1" applyFill="1" applyBorder="1" applyAlignment="1">
      <alignment horizontal="center" vertical="center"/>
    </xf>
    <xf numFmtId="0" fontId="10" fillId="8" borderId="20" xfId="0" applyFont="1" applyFill="1" applyBorder="1" applyAlignment="1">
      <alignment horizontal="center" vertical="center"/>
    </xf>
    <xf numFmtId="0" fontId="10" fillId="8" borderId="21" xfId="0" applyFont="1" applyFill="1" applyBorder="1" applyAlignment="1">
      <alignment horizontal="center" vertical="center"/>
    </xf>
    <xf numFmtId="0" fontId="10" fillId="8" borderId="22" xfId="0" applyFont="1" applyFill="1" applyBorder="1" applyAlignment="1">
      <alignment horizontal="center" vertical="center"/>
    </xf>
    <xf numFmtId="0" fontId="10" fillId="10" borderId="20" xfId="0" applyFont="1" applyFill="1" applyBorder="1" applyAlignment="1">
      <alignment horizontal="center" vertical="center"/>
    </xf>
    <xf numFmtId="0" fontId="10" fillId="10" borderId="21" xfId="0" applyFont="1" applyFill="1" applyBorder="1" applyAlignment="1">
      <alignment horizontal="center" vertical="center"/>
    </xf>
    <xf numFmtId="0" fontId="10" fillId="10" borderId="22" xfId="0" applyFont="1" applyFill="1" applyBorder="1" applyAlignment="1">
      <alignment horizontal="center" vertical="center"/>
    </xf>
    <xf numFmtId="0" fontId="10" fillId="11" borderId="20" xfId="0" applyFont="1" applyFill="1" applyBorder="1" applyAlignment="1">
      <alignment horizontal="center" vertical="center"/>
    </xf>
    <xf numFmtId="0" fontId="10" fillId="11" borderId="21" xfId="0" applyFont="1" applyFill="1" applyBorder="1" applyAlignment="1">
      <alignment horizontal="center" vertical="center"/>
    </xf>
    <xf numFmtId="0" fontId="10" fillId="11" borderId="22" xfId="0" applyFont="1" applyFill="1" applyBorder="1" applyAlignment="1">
      <alignment horizontal="center" vertical="center"/>
    </xf>
    <xf numFmtId="0" fontId="0" fillId="0" borderId="3" xfId="0" applyBorder="1" applyAlignment="1">
      <alignment horizontal="center" vertical="center"/>
    </xf>
    <xf numFmtId="49" fontId="12" fillId="0" borderId="18" xfId="0" applyNumberFormat="1" applyFont="1" applyBorder="1" applyAlignment="1">
      <alignment horizontal="center" vertical="center"/>
    </xf>
    <xf numFmtId="49" fontId="12" fillId="0" borderId="19" xfId="0" applyNumberFormat="1" applyFont="1" applyBorder="1" applyAlignment="1">
      <alignment horizontal="center" vertical="center"/>
    </xf>
    <xf numFmtId="0" fontId="0" fillId="0" borderId="3" xfId="0" applyBorder="1" applyAlignment="1">
      <alignment horizontal="center" wrapText="1"/>
    </xf>
    <xf numFmtId="0" fontId="10" fillId="3" borderId="20" xfId="0" applyFont="1" applyFill="1" applyBorder="1" applyAlignment="1">
      <alignment horizontal="center" vertical="center"/>
    </xf>
    <xf numFmtId="0" fontId="10" fillId="3" borderId="21" xfId="0" applyFont="1" applyFill="1" applyBorder="1" applyAlignment="1">
      <alignment horizontal="center" vertical="center"/>
    </xf>
    <xf numFmtId="0" fontId="10" fillId="3" borderId="22" xfId="0" applyFont="1" applyFill="1" applyBorder="1" applyAlignment="1">
      <alignment horizontal="center" vertical="center"/>
    </xf>
    <xf numFmtId="0" fontId="7" fillId="0" borderId="3" xfId="0" applyFont="1" applyBorder="1" applyAlignment="1">
      <alignment horizontal="left" vertical="center" wrapText="1"/>
    </xf>
    <xf numFmtId="0" fontId="7" fillId="0" borderId="3" xfId="0" applyFont="1" applyBorder="1" applyAlignment="1">
      <alignment horizontal="center" vertical="center" wrapText="1"/>
    </xf>
    <xf numFmtId="0" fontId="4" fillId="0" borderId="3" xfId="0" applyFont="1" applyBorder="1" applyAlignment="1">
      <alignment horizontal="center" vertical="center" wrapText="1"/>
    </xf>
    <xf numFmtId="0" fontId="0" fillId="6" borderId="7" xfId="0" applyFill="1" applyBorder="1" applyAlignment="1">
      <alignment horizontal="center" vertical="center" wrapText="1"/>
    </xf>
    <xf numFmtId="0" fontId="0" fillId="6" borderId="8" xfId="0" applyFill="1" applyBorder="1" applyAlignment="1">
      <alignment horizontal="center" vertical="center" wrapText="1"/>
    </xf>
    <xf numFmtId="0" fontId="0" fillId="6" borderId="3" xfId="0" applyFill="1" applyBorder="1" applyAlignment="1">
      <alignment vertical="center" wrapText="1"/>
    </xf>
    <xf numFmtId="0" fontId="0" fillId="6" borderId="3" xfId="0" applyFill="1" applyBorder="1" applyAlignment="1">
      <alignment horizontal="left" vertical="center" wrapText="1"/>
    </xf>
    <xf numFmtId="0" fontId="7" fillId="6" borderId="3" xfId="0" applyFont="1" applyFill="1" applyBorder="1" applyAlignment="1">
      <alignment horizontal="left" vertical="center" wrapText="1"/>
    </xf>
    <xf numFmtId="0" fontId="0" fillId="6" borderId="15" xfId="0" applyFill="1" applyBorder="1" applyAlignment="1">
      <alignment horizontal="center" vertical="center" wrapText="1"/>
    </xf>
    <xf numFmtId="0" fontId="7" fillId="6" borderId="3" xfId="0" applyFont="1" applyFill="1" applyBorder="1" applyAlignment="1">
      <alignment horizontal="center" vertical="center" wrapText="1"/>
    </xf>
    <xf numFmtId="0" fontId="4" fillId="6" borderId="3" xfId="0" applyFont="1" applyFill="1" applyBorder="1" applyAlignment="1">
      <alignment horizontal="center" vertical="center" wrapText="1"/>
    </xf>
    <xf numFmtId="0" fontId="4" fillId="0" borderId="7" xfId="0" applyFont="1" applyBorder="1"/>
    <xf numFmtId="1" fontId="0" fillId="0" borderId="7" xfId="0" applyNumberFormat="1" applyBorder="1" applyAlignment="1">
      <alignment horizontal="center"/>
    </xf>
    <xf numFmtId="2" fontId="0" fillId="0" borderId="7" xfId="0" applyNumberFormat="1" applyBorder="1" applyAlignment="1">
      <alignment horizontal="center"/>
    </xf>
    <xf numFmtId="164" fontId="0" fillId="0" borderId="7" xfId="0" applyNumberFormat="1" applyBorder="1" applyAlignment="1">
      <alignment horizontal="center"/>
    </xf>
    <xf numFmtId="0" fontId="4" fillId="0" borderId="3" xfId="0" applyFont="1" applyFill="1" applyBorder="1"/>
  </cellXfs>
  <cellStyles count="1">
    <cellStyle name="Normal" xfId="0" builtinId="0"/>
  </cellStyles>
  <dxfs count="49">
    <dxf>
      <font>
        <color rgb="FF006100"/>
      </font>
      <fill>
        <patternFill>
          <bgColor rgb="FFC6EFCE"/>
        </patternFill>
      </fill>
    </dxf>
    <dxf>
      <font>
        <color rgb="FF9C0006"/>
      </font>
      <fill>
        <patternFill>
          <bgColor rgb="FFFFC7CE"/>
        </patternFill>
      </fill>
    </dxf>
    <dxf>
      <font>
        <b val="0"/>
        <i val="0"/>
        <color theme="2" tint="-0.499984740745262"/>
      </font>
    </dxf>
    <dxf>
      <font>
        <b/>
        <i/>
        <u val="double"/>
        <color theme="2" tint="-0.499984740745262"/>
      </font>
      <border>
        <left style="thin">
          <color theme="1"/>
        </left>
        <right style="thin">
          <color theme="1"/>
        </right>
        <top style="thin">
          <color theme="1"/>
        </top>
        <bottom style="thin">
          <color theme="1"/>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b/>
        <i val="0"/>
      </font>
    </dxf>
    <dxf>
      <font>
        <color rgb="FF006100"/>
      </font>
      <fill>
        <patternFill>
          <bgColor rgb="FFC6EFCE"/>
        </patternFill>
      </fill>
    </dxf>
    <dxf>
      <font>
        <color rgb="FF9C0006"/>
      </font>
      <fill>
        <patternFill>
          <bgColor rgb="FFFFC7CE"/>
        </patternFill>
      </fill>
    </dxf>
    <dxf>
      <font>
        <b val="0"/>
        <i val="0"/>
        <color theme="2" tint="-0.499984740745262"/>
      </font>
    </dxf>
    <dxf>
      <font>
        <b/>
        <i/>
        <u val="double"/>
        <color theme="2" tint="-0.499984740745262"/>
      </font>
      <border>
        <left style="thin">
          <color theme="1"/>
        </left>
        <right style="thin">
          <color theme="1"/>
        </right>
        <top style="thin">
          <color theme="1"/>
        </top>
        <bottom style="thin">
          <color theme="1"/>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b/>
        <i val="0"/>
      </font>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b/>
        <i val="0"/>
      </font>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b/>
        <i val="0"/>
      </font>
    </dxf>
    <dxf>
      <font>
        <color rgb="FF006100"/>
      </font>
      <fill>
        <patternFill>
          <bgColor rgb="FFC6EFCE"/>
        </patternFill>
      </fill>
    </dxf>
    <dxf>
      <font>
        <color rgb="FF9C0006"/>
      </font>
      <fill>
        <patternFill>
          <bgColor rgb="FFFFC7CE"/>
        </patternFill>
      </fill>
    </dxf>
    <dxf>
      <font>
        <b val="0"/>
        <i val="0"/>
        <color theme="2" tint="-0.499984740745262"/>
      </font>
    </dxf>
    <dxf>
      <font>
        <b/>
        <i/>
        <u val="double"/>
        <color theme="2" tint="-0.499984740745262"/>
      </font>
      <border>
        <left style="thin">
          <color theme="1"/>
        </left>
        <right style="thin">
          <color theme="1"/>
        </right>
        <top style="thin">
          <color theme="1"/>
        </top>
        <bottom style="thin">
          <color theme="1"/>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b/>
        <i val="0"/>
      </font>
    </dxf>
    <dxf>
      <font>
        <color rgb="FF006100"/>
      </font>
      <fill>
        <patternFill>
          <bgColor rgb="FFC6EFCE"/>
        </patternFill>
      </fill>
    </dxf>
    <dxf>
      <font>
        <color rgb="FF9C0006"/>
      </font>
      <fill>
        <patternFill>
          <bgColor rgb="FFFFC7CE"/>
        </patternFill>
      </fill>
    </dxf>
    <dxf>
      <font>
        <b val="0"/>
        <i val="0"/>
        <color theme="2" tint="-0.499984740745262"/>
      </font>
    </dxf>
    <dxf>
      <font>
        <b/>
        <i/>
        <u val="double"/>
        <color theme="2" tint="-0.499984740745262"/>
      </font>
      <border>
        <left style="thin">
          <color theme="1"/>
        </left>
        <right style="thin">
          <color theme="1"/>
        </right>
        <top style="thin">
          <color theme="1"/>
        </top>
        <bottom style="thin">
          <color theme="1"/>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b/>
        <i val="0"/>
      </font>
    </dxf>
    <dxf>
      <font>
        <color rgb="FF006100"/>
      </font>
      <fill>
        <patternFill>
          <bgColor rgb="FFC6EFCE"/>
        </patternFill>
      </fill>
    </dxf>
    <dxf>
      <font>
        <color rgb="FF9C0006"/>
      </font>
      <fill>
        <patternFill>
          <bgColor rgb="FFFFC7CE"/>
        </patternFill>
      </fill>
    </dxf>
    <dxf>
      <font>
        <b val="0"/>
        <i val="0"/>
        <color theme="2" tint="-0.499984740745262"/>
      </font>
    </dxf>
    <dxf>
      <font>
        <b/>
        <i/>
        <u val="double"/>
        <color theme="2" tint="-0.499984740745262"/>
      </font>
      <border>
        <left style="thin">
          <color theme="1"/>
        </left>
        <right style="thin">
          <color theme="1"/>
        </right>
        <top style="thin">
          <color theme="1"/>
        </top>
        <bottom style="thin">
          <color theme="1"/>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color rgb="FF006100"/>
      </font>
      <fill>
        <patternFill>
          <bgColor rgb="FFC6EFCE"/>
        </patternFill>
      </fill>
    </dxf>
    <dxf>
      <font>
        <color rgb="FF9C0006"/>
      </font>
      <fill>
        <patternFill>
          <bgColor rgb="FFFFC7CE"/>
        </patternFill>
      </fill>
    </dxf>
    <dxf>
      <font>
        <b val="0"/>
        <i val="0"/>
        <color theme="2" tint="-0.499984740745262"/>
      </font>
    </dxf>
    <dxf>
      <font>
        <b/>
        <i/>
        <u val="double"/>
        <color theme="2" tint="-0.499984740745262"/>
      </font>
      <border>
        <left style="thin">
          <color theme="1"/>
        </left>
        <right style="thin">
          <color theme="1"/>
        </right>
        <top style="thin">
          <color theme="1"/>
        </top>
        <bottom style="thin">
          <color theme="1"/>
        </bottom>
        <vertical/>
        <horizontal/>
      </border>
    </dxf>
    <dxf>
      <font>
        <color theme="0"/>
      </font>
      <fill>
        <patternFill>
          <fgColor theme="0"/>
          <bgColor theme="0"/>
        </patternFill>
      </fill>
      <border>
        <left/>
        <right/>
        <top/>
        <bottom/>
        <vertical/>
        <horizontal/>
      </border>
    </dxf>
    <dxf>
      <fill>
        <patternFill>
          <bgColor theme="0" tint="-0.24994659260841701"/>
        </patternFill>
      </fill>
      <border>
        <left/>
        <right/>
        <top/>
        <bottom/>
        <vertical/>
        <horizontal/>
      </border>
    </dxf>
    <dxf>
      <font>
        <b/>
        <i val="0"/>
      </font>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tabColor rgb="FFFF0000"/>
  </sheetPr>
  <dimension ref="A1:AE26"/>
  <sheetViews>
    <sheetView zoomScale="95" zoomScaleNormal="95" workbookViewId="0">
      <selection activeCell="K25" sqref="K25"/>
    </sheetView>
  </sheetViews>
  <sheetFormatPr baseColWidth="10" defaultColWidth="11.44140625" defaultRowHeight="14.4"/>
  <cols>
    <col min="3" max="3" width="19.33203125" customWidth="1"/>
    <col min="4" max="4" width="17.6640625" customWidth="1"/>
    <col min="5" max="5" width="16.77734375" customWidth="1"/>
    <col min="10" max="10" width="16.77734375" customWidth="1"/>
    <col min="11" max="11" width="22.21875" customWidth="1"/>
    <col min="12" max="12" width="16.5546875" customWidth="1"/>
    <col min="13" max="13" width="13.21875" customWidth="1"/>
    <col min="15" max="15" width="13.44140625" customWidth="1"/>
    <col min="16" max="16" width="14.77734375" customWidth="1"/>
    <col min="18" max="18" width="6.77734375" customWidth="1"/>
    <col min="20" max="20" width="11.44140625" style="97"/>
    <col min="21" max="21" width="11.44140625" style="94"/>
    <col min="28" max="28" width="11.44140625" customWidth="1"/>
  </cols>
  <sheetData>
    <row r="1" spans="1:31">
      <c r="A1" s="50"/>
      <c r="B1" s="50"/>
      <c r="C1" s="50"/>
      <c r="D1" s="50"/>
      <c r="E1" s="50"/>
      <c r="F1" s="50"/>
      <c r="G1" s="50"/>
      <c r="H1" s="50"/>
      <c r="I1" s="50"/>
      <c r="J1" s="50"/>
      <c r="K1" s="50"/>
      <c r="L1" s="50"/>
      <c r="M1" s="50"/>
      <c r="N1" s="50"/>
      <c r="O1" s="50"/>
      <c r="P1" s="50"/>
      <c r="Q1" s="50"/>
      <c r="R1" s="50"/>
      <c r="S1" s="50"/>
      <c r="T1" s="99" t="s">
        <v>592</v>
      </c>
      <c r="U1" s="99" t="s">
        <v>593</v>
      </c>
      <c r="V1" s="99" t="s">
        <v>592</v>
      </c>
      <c r="W1" s="99" t="s">
        <v>593</v>
      </c>
      <c r="X1" s="99" t="s">
        <v>592</v>
      </c>
      <c r="Y1" s="99" t="s">
        <v>593</v>
      </c>
      <c r="Z1" s="99" t="s">
        <v>592</v>
      </c>
      <c r="AA1" s="99" t="s">
        <v>593</v>
      </c>
      <c r="AB1" s="99" t="s">
        <v>592</v>
      </c>
      <c r="AC1" s="99" t="s">
        <v>593</v>
      </c>
      <c r="AD1" s="99" t="s">
        <v>592</v>
      </c>
      <c r="AE1" s="99" t="s">
        <v>593</v>
      </c>
    </row>
    <row r="2" spans="1:31" ht="15.6">
      <c r="B2" s="5"/>
      <c r="C2" s="5"/>
      <c r="D2" s="5"/>
      <c r="E2" s="5"/>
      <c r="F2" s="5"/>
      <c r="G2" s="5"/>
      <c r="H2" s="5"/>
      <c r="I2" s="5"/>
      <c r="J2" s="5"/>
      <c r="K2" s="5"/>
      <c r="L2" s="5"/>
      <c r="M2" s="5"/>
      <c r="N2" s="5"/>
      <c r="O2" s="5"/>
      <c r="P2" s="5"/>
      <c r="Q2" s="5"/>
      <c r="R2" s="5"/>
      <c r="T2" s="99" t="s">
        <v>135</v>
      </c>
      <c r="U2" s="81">
        <v>23</v>
      </c>
      <c r="V2" s="99" t="s">
        <v>136</v>
      </c>
      <c r="W2" s="81">
        <v>12</v>
      </c>
      <c r="X2" s="99" t="s">
        <v>137</v>
      </c>
      <c r="Y2" s="81">
        <v>35</v>
      </c>
      <c r="Z2" s="99" t="s">
        <v>138</v>
      </c>
      <c r="AA2" s="81">
        <v>23</v>
      </c>
      <c r="AB2" s="99" t="s">
        <v>139</v>
      </c>
      <c r="AC2" s="81">
        <v>3</v>
      </c>
      <c r="AD2" s="99" t="s">
        <v>219</v>
      </c>
      <c r="AE2" s="81">
        <v>4</v>
      </c>
    </row>
    <row r="3" spans="1:31" ht="28.8">
      <c r="A3" s="50"/>
      <c r="B3" s="5"/>
      <c r="C3" s="133" t="s">
        <v>133</v>
      </c>
      <c r="D3" s="135"/>
      <c r="E3" s="135"/>
      <c r="F3" s="135"/>
      <c r="G3" s="135"/>
      <c r="H3" s="135"/>
      <c r="I3" s="134"/>
      <c r="J3" s="40"/>
      <c r="K3" s="133" t="s">
        <v>134</v>
      </c>
      <c r="L3" s="134"/>
      <c r="M3" s="40"/>
      <c r="N3" s="38" t="s">
        <v>148</v>
      </c>
      <c r="O3" s="39" t="s">
        <v>305</v>
      </c>
      <c r="P3" s="38" t="s">
        <v>217</v>
      </c>
      <c r="Q3" s="38" t="s">
        <v>270</v>
      </c>
      <c r="R3" s="5"/>
    </row>
    <row r="4" spans="1:31">
      <c r="A4" s="50"/>
      <c r="B4" s="5"/>
      <c r="C4" s="23"/>
      <c r="D4" s="14" t="s">
        <v>135</v>
      </c>
      <c r="E4" s="14" t="s">
        <v>136</v>
      </c>
      <c r="F4" s="14" t="s">
        <v>137</v>
      </c>
      <c r="G4" s="14" t="s">
        <v>138</v>
      </c>
      <c r="H4" s="14" t="s">
        <v>139</v>
      </c>
      <c r="I4" s="14" t="s">
        <v>219</v>
      </c>
      <c r="J4" s="19"/>
      <c r="K4" s="131" t="s">
        <v>140</v>
      </c>
      <c r="L4" s="132"/>
      <c r="M4" s="5"/>
      <c r="N4" s="62" t="s">
        <v>135</v>
      </c>
      <c r="O4" s="63">
        <f t="shared" ref="O4:O9" si="0">(72/100)*L16</f>
        <v>19.079999999999998</v>
      </c>
      <c r="P4" s="64">
        <v>18</v>
      </c>
      <c r="Q4" s="64">
        <v>18</v>
      </c>
      <c r="R4" s="5"/>
      <c r="S4" s="50"/>
    </row>
    <row r="5" spans="1:31">
      <c r="A5" s="50"/>
      <c r="B5" s="5"/>
      <c r="C5" s="14" t="s">
        <v>135</v>
      </c>
      <c r="D5" s="15">
        <v>1</v>
      </c>
      <c r="E5" s="15">
        <v>4</v>
      </c>
      <c r="F5" s="15">
        <v>0.75</v>
      </c>
      <c r="G5" s="15">
        <v>1</v>
      </c>
      <c r="H5" s="16">
        <v>5</v>
      </c>
      <c r="I5" s="16">
        <v>4</v>
      </c>
      <c r="J5" s="20"/>
      <c r="K5" s="131" t="s">
        <v>141</v>
      </c>
      <c r="L5" s="132"/>
      <c r="M5" s="5"/>
      <c r="N5" s="62" t="s">
        <v>136</v>
      </c>
      <c r="O5" s="63">
        <f t="shared" si="0"/>
        <v>13.32</v>
      </c>
      <c r="P5" s="64">
        <v>17</v>
      </c>
      <c r="Q5" s="64">
        <v>17</v>
      </c>
      <c r="R5" s="5"/>
      <c r="S5" s="50"/>
    </row>
    <row r="6" spans="1:31">
      <c r="A6" s="50"/>
      <c r="B6" s="5"/>
      <c r="C6" s="14" t="s">
        <v>136</v>
      </c>
      <c r="D6" s="15">
        <v>0.25</v>
      </c>
      <c r="E6" s="15">
        <v>1</v>
      </c>
      <c r="F6" s="15">
        <v>0.66666666666666663</v>
      </c>
      <c r="G6" s="15">
        <v>0.25</v>
      </c>
      <c r="H6" s="16">
        <v>4</v>
      </c>
      <c r="I6" s="16">
        <v>3</v>
      </c>
      <c r="J6" s="20"/>
      <c r="K6" s="131" t="s">
        <v>142</v>
      </c>
      <c r="L6" s="132"/>
      <c r="M6" s="5"/>
      <c r="N6" s="62" t="s">
        <v>137</v>
      </c>
      <c r="O6" s="63">
        <f t="shared" si="0"/>
        <v>14.399999999999999</v>
      </c>
      <c r="P6" s="64">
        <v>20</v>
      </c>
      <c r="Q6" s="64">
        <v>22</v>
      </c>
      <c r="R6" s="5"/>
      <c r="S6" s="50"/>
    </row>
    <row r="7" spans="1:31" ht="15.6">
      <c r="A7" s="50"/>
      <c r="B7" s="5"/>
      <c r="C7" s="14" t="s">
        <v>137</v>
      </c>
      <c r="D7" s="15">
        <v>4</v>
      </c>
      <c r="E7" s="15">
        <v>1.5</v>
      </c>
      <c r="F7" s="15">
        <v>1</v>
      </c>
      <c r="G7" s="15">
        <v>2</v>
      </c>
      <c r="H7" s="16">
        <v>7</v>
      </c>
      <c r="I7" s="16">
        <v>6</v>
      </c>
      <c r="J7" s="20"/>
      <c r="K7" s="131" t="s">
        <v>143</v>
      </c>
      <c r="L7" s="132"/>
      <c r="M7" s="5"/>
      <c r="N7" s="62" t="s">
        <v>138</v>
      </c>
      <c r="O7" s="63">
        <f t="shared" si="0"/>
        <v>16.559999999999999</v>
      </c>
      <c r="P7" s="64">
        <v>11</v>
      </c>
      <c r="Q7" s="64">
        <v>11</v>
      </c>
      <c r="R7" s="5"/>
      <c r="S7" s="50"/>
      <c r="T7" s="100"/>
      <c r="U7" s="101"/>
    </row>
    <row r="8" spans="1:31">
      <c r="A8" s="50"/>
      <c r="B8" s="5"/>
      <c r="C8" s="14" t="s">
        <v>138</v>
      </c>
      <c r="D8" s="15">
        <v>1</v>
      </c>
      <c r="E8" s="15">
        <v>4</v>
      </c>
      <c r="F8" s="15">
        <v>0.5</v>
      </c>
      <c r="G8" s="15">
        <v>1</v>
      </c>
      <c r="H8" s="16">
        <v>6</v>
      </c>
      <c r="I8" s="16">
        <v>5</v>
      </c>
      <c r="J8" s="20"/>
      <c r="K8" s="131" t="s">
        <v>144</v>
      </c>
      <c r="L8" s="132"/>
      <c r="M8" s="5"/>
      <c r="N8" s="62" t="s">
        <v>139</v>
      </c>
      <c r="O8" s="63">
        <f t="shared" si="0"/>
        <v>4.32</v>
      </c>
      <c r="P8" s="64">
        <v>3</v>
      </c>
      <c r="Q8" s="64">
        <v>3</v>
      </c>
      <c r="R8" s="5"/>
      <c r="S8" s="50"/>
    </row>
    <row r="9" spans="1:31">
      <c r="A9" s="50"/>
      <c r="B9" s="5"/>
      <c r="C9" s="14" t="s">
        <v>139</v>
      </c>
      <c r="D9" s="16">
        <v>0.2</v>
      </c>
      <c r="E9" s="16">
        <v>0.25</v>
      </c>
      <c r="F9" s="16">
        <v>0.14285714285714285</v>
      </c>
      <c r="G9" s="16">
        <v>0.16666666666666666</v>
      </c>
      <c r="H9" s="16">
        <v>1</v>
      </c>
      <c r="I9" s="16">
        <v>0.66666666666666663</v>
      </c>
      <c r="J9" s="20"/>
      <c r="K9" s="131" t="s">
        <v>145</v>
      </c>
      <c r="L9" s="132"/>
      <c r="M9" s="5"/>
      <c r="N9" s="62" t="s">
        <v>219</v>
      </c>
      <c r="O9" s="63">
        <f t="shared" si="0"/>
        <v>4.32</v>
      </c>
      <c r="P9" s="64">
        <v>3</v>
      </c>
      <c r="Q9" s="64">
        <v>4</v>
      </c>
      <c r="R9" s="5"/>
      <c r="S9" s="50"/>
    </row>
    <row r="10" spans="1:31" ht="28.8">
      <c r="A10" s="50"/>
      <c r="B10" s="5"/>
      <c r="C10" s="14" t="s">
        <v>219</v>
      </c>
      <c r="D10" s="16">
        <v>0.25</v>
      </c>
      <c r="E10" s="16">
        <v>0.33333333333333331</v>
      </c>
      <c r="F10" s="16">
        <v>0.16666666666666666</v>
      </c>
      <c r="G10" s="16">
        <v>0.2</v>
      </c>
      <c r="H10" s="16">
        <v>1.5</v>
      </c>
      <c r="I10" s="16">
        <v>1</v>
      </c>
      <c r="J10" s="20"/>
      <c r="K10" s="20"/>
      <c r="L10" s="20"/>
      <c r="M10" s="5"/>
      <c r="N10" s="10" t="s">
        <v>220</v>
      </c>
      <c r="O10" s="7">
        <f>SUM(O4:O9)</f>
        <v>72</v>
      </c>
      <c r="P10" s="41">
        <f>SUM(P4:P9)</f>
        <v>72</v>
      </c>
      <c r="Q10" s="41">
        <f>SUM(Q4:Q9)</f>
        <v>75</v>
      </c>
      <c r="R10" s="5"/>
      <c r="S10" s="50"/>
    </row>
    <row r="11" spans="1:31">
      <c r="A11" s="50"/>
      <c r="B11" s="5"/>
      <c r="C11" s="14" t="s">
        <v>146</v>
      </c>
      <c r="D11" s="18">
        <f>SUM(D5:D10)</f>
        <v>6.7</v>
      </c>
      <c r="E11" s="18">
        <f t="shared" ref="E11:I11" si="1">SUM(E5:E10)</f>
        <v>11.083333333333334</v>
      </c>
      <c r="F11" s="18">
        <f t="shared" si="1"/>
        <v>3.2261904761904758</v>
      </c>
      <c r="G11" s="18">
        <f t="shared" si="1"/>
        <v>4.6166666666666671</v>
      </c>
      <c r="H11" s="18">
        <f t="shared" si="1"/>
        <v>24.5</v>
      </c>
      <c r="I11" s="18">
        <f t="shared" si="1"/>
        <v>19.666666666666668</v>
      </c>
      <c r="J11" s="21"/>
      <c r="K11" s="5"/>
      <c r="L11" s="5"/>
      <c r="M11" s="5"/>
      <c r="N11" s="5"/>
      <c r="O11" s="5"/>
      <c r="P11" s="5"/>
      <c r="Q11" s="5"/>
      <c r="R11" s="5"/>
      <c r="S11" s="50"/>
    </row>
    <row r="12" spans="1:31">
      <c r="A12" s="50"/>
      <c r="B12" s="5"/>
      <c r="C12" s="136"/>
      <c r="D12" s="136"/>
      <c r="E12" s="136"/>
      <c r="F12" s="136"/>
      <c r="G12" s="136"/>
      <c r="H12" s="136"/>
      <c r="I12" s="136"/>
      <c r="J12" s="136"/>
      <c r="K12" s="136"/>
      <c r="L12" s="5"/>
      <c r="M12" s="22"/>
      <c r="S12" s="50"/>
    </row>
    <row r="13" spans="1:31" ht="14.55" customHeight="1">
      <c r="A13" s="50"/>
      <c r="B13" s="5"/>
      <c r="C13" s="137" t="s">
        <v>147</v>
      </c>
      <c r="D13" s="138"/>
      <c r="E13" s="138"/>
      <c r="F13" s="138"/>
      <c r="G13" s="138"/>
      <c r="H13" s="138"/>
      <c r="I13" s="138"/>
      <c r="J13" s="138"/>
      <c r="K13" s="138"/>
      <c r="L13" s="139"/>
      <c r="M13" s="22"/>
      <c r="S13" s="50"/>
    </row>
    <row r="14" spans="1:31" ht="15.6">
      <c r="A14" s="50"/>
      <c r="B14" s="5"/>
      <c r="C14" s="128" t="s">
        <v>148</v>
      </c>
      <c r="D14" s="129"/>
      <c r="E14" s="129"/>
      <c r="F14" s="129"/>
      <c r="G14" s="129"/>
      <c r="H14" s="129"/>
      <c r="I14" s="130"/>
      <c r="J14" s="128" t="s">
        <v>149</v>
      </c>
      <c r="K14" s="130"/>
      <c r="L14" s="35" t="s">
        <v>217</v>
      </c>
      <c r="M14" s="22"/>
      <c r="S14" s="50"/>
    </row>
    <row r="15" spans="1:31" ht="15.6">
      <c r="A15" s="50"/>
      <c r="B15" s="5"/>
      <c r="C15" s="34"/>
      <c r="D15" s="14" t="s">
        <v>135</v>
      </c>
      <c r="E15" s="14" t="s">
        <v>136</v>
      </c>
      <c r="F15" s="14" t="s">
        <v>137</v>
      </c>
      <c r="G15" s="14" t="s">
        <v>138</v>
      </c>
      <c r="H15" s="14" t="s">
        <v>139</v>
      </c>
      <c r="I15" s="14" t="s">
        <v>219</v>
      </c>
      <c r="J15" s="14" t="s">
        <v>150</v>
      </c>
      <c r="K15" s="14" t="s">
        <v>151</v>
      </c>
      <c r="L15" s="1" t="s">
        <v>218</v>
      </c>
      <c r="M15" s="22"/>
      <c r="S15" s="50"/>
    </row>
    <row r="16" spans="1:31" ht="15.6">
      <c r="A16" s="50"/>
      <c r="B16" s="5"/>
      <c r="C16" s="14" t="s">
        <v>135</v>
      </c>
      <c r="D16" s="15">
        <f t="shared" ref="D16:I16" si="2">D5/D11</f>
        <v>0.14925373134328357</v>
      </c>
      <c r="E16" s="15">
        <f t="shared" si="2"/>
        <v>0.36090225563909772</v>
      </c>
      <c r="F16" s="15">
        <f t="shared" si="2"/>
        <v>0.23247232472324725</v>
      </c>
      <c r="G16" s="15">
        <f t="shared" si="2"/>
        <v>0.21660649819494582</v>
      </c>
      <c r="H16" s="16">
        <f t="shared" si="2"/>
        <v>0.20408163265306123</v>
      </c>
      <c r="I16" s="16">
        <f t="shared" si="2"/>
        <v>0.20338983050847456</v>
      </c>
      <c r="J16" s="16">
        <f>SUM(D16:I16)/6</f>
        <v>0.22778437884368499</v>
      </c>
      <c r="K16" s="17">
        <f>J16*100</f>
        <v>22.7784378843685</v>
      </c>
      <c r="L16" s="36">
        <v>26.5</v>
      </c>
      <c r="M16" s="5"/>
      <c r="S16" s="50"/>
    </row>
    <row r="17" spans="1:19" ht="15.6">
      <c r="A17" s="50"/>
      <c r="B17" s="5"/>
      <c r="C17" s="14" t="s">
        <v>136</v>
      </c>
      <c r="D17" s="15">
        <f t="shared" ref="D17:I17" si="3">D6/D11</f>
        <v>3.7313432835820892E-2</v>
      </c>
      <c r="E17" s="15">
        <f t="shared" si="3"/>
        <v>9.0225563909774431E-2</v>
      </c>
      <c r="F17" s="15">
        <f t="shared" si="3"/>
        <v>0.20664206642066421</v>
      </c>
      <c r="G17" s="15">
        <f t="shared" si="3"/>
        <v>5.4151624548736454E-2</v>
      </c>
      <c r="H17" s="16">
        <f t="shared" si="3"/>
        <v>0.16326530612244897</v>
      </c>
      <c r="I17" s="16">
        <f t="shared" si="3"/>
        <v>0.15254237288135591</v>
      </c>
      <c r="J17" s="16">
        <f t="shared" ref="J17:J21" si="4">SUM(D17:I17)/6</f>
        <v>0.11735672778646682</v>
      </c>
      <c r="K17" s="17">
        <f t="shared" ref="K17:K21" si="5">J17*100</f>
        <v>11.735672778646682</v>
      </c>
      <c r="L17" s="36">
        <v>18.5</v>
      </c>
      <c r="M17" s="5"/>
      <c r="S17" s="50"/>
    </row>
    <row r="18" spans="1:19" ht="15.6">
      <c r="A18" s="50"/>
      <c r="B18" s="5"/>
      <c r="C18" s="14" t="s">
        <v>137</v>
      </c>
      <c r="D18" s="15">
        <f t="shared" ref="D18:I18" si="6">D7/D11</f>
        <v>0.59701492537313428</v>
      </c>
      <c r="E18" s="15">
        <f t="shared" si="6"/>
        <v>0.13533834586466165</v>
      </c>
      <c r="F18" s="15">
        <f t="shared" si="6"/>
        <v>0.30996309963099633</v>
      </c>
      <c r="G18" s="15">
        <f t="shared" si="6"/>
        <v>0.43321299638989164</v>
      </c>
      <c r="H18" s="16">
        <f t="shared" si="6"/>
        <v>0.2857142857142857</v>
      </c>
      <c r="I18" s="16">
        <f t="shared" si="6"/>
        <v>0.30508474576271183</v>
      </c>
      <c r="J18" s="16">
        <f t="shared" si="4"/>
        <v>0.34438806645594688</v>
      </c>
      <c r="K18" s="17">
        <f t="shared" si="5"/>
        <v>34.438806645594688</v>
      </c>
      <c r="L18" s="36">
        <v>20</v>
      </c>
      <c r="M18" s="5"/>
      <c r="S18" s="50"/>
    </row>
    <row r="19" spans="1:19" ht="15.6">
      <c r="A19" s="50"/>
      <c r="B19" s="5"/>
      <c r="C19" s="14" t="s">
        <v>138</v>
      </c>
      <c r="D19" s="15">
        <f t="shared" ref="D19:I19" si="7">D8/D11</f>
        <v>0.14925373134328357</v>
      </c>
      <c r="E19" s="15">
        <f t="shared" si="7"/>
        <v>0.36090225563909772</v>
      </c>
      <c r="F19" s="15">
        <f t="shared" si="7"/>
        <v>0.15498154981549817</v>
      </c>
      <c r="G19" s="15">
        <f t="shared" si="7"/>
        <v>0.21660649819494582</v>
      </c>
      <c r="H19" s="16">
        <f t="shared" si="7"/>
        <v>0.24489795918367346</v>
      </c>
      <c r="I19" s="16">
        <f t="shared" si="7"/>
        <v>0.25423728813559321</v>
      </c>
      <c r="J19" s="16">
        <f t="shared" si="4"/>
        <v>0.23014654705201532</v>
      </c>
      <c r="K19" s="17">
        <f t="shared" si="5"/>
        <v>23.014654705201533</v>
      </c>
      <c r="L19" s="36">
        <v>23</v>
      </c>
      <c r="M19" s="5"/>
      <c r="S19" s="50"/>
    </row>
    <row r="20" spans="1:19" ht="15.6">
      <c r="A20" s="50"/>
      <c r="B20" s="5"/>
      <c r="C20" s="14" t="s">
        <v>139</v>
      </c>
      <c r="D20" s="15">
        <f t="shared" ref="D20:I20" si="8">D9/D11</f>
        <v>2.9850746268656716E-2</v>
      </c>
      <c r="E20" s="15">
        <f t="shared" si="8"/>
        <v>2.2556390977443608E-2</v>
      </c>
      <c r="F20" s="15">
        <f t="shared" si="8"/>
        <v>4.4280442804428048E-2</v>
      </c>
      <c r="G20" s="15">
        <f t="shared" si="8"/>
        <v>3.6101083032490967E-2</v>
      </c>
      <c r="H20" s="16">
        <f t="shared" si="8"/>
        <v>4.0816326530612242E-2</v>
      </c>
      <c r="I20" s="16">
        <f t="shared" si="8"/>
        <v>3.3898305084745756E-2</v>
      </c>
      <c r="J20" s="16">
        <f t="shared" si="4"/>
        <v>3.4583882449729555E-2</v>
      </c>
      <c r="K20" s="17">
        <f t="shared" si="5"/>
        <v>3.4583882449729555</v>
      </c>
      <c r="L20" s="36">
        <v>6</v>
      </c>
      <c r="M20" s="5"/>
      <c r="S20" s="50"/>
    </row>
    <row r="21" spans="1:19" ht="15.6">
      <c r="A21" s="50"/>
      <c r="B21" s="5"/>
      <c r="C21" s="14" t="s">
        <v>219</v>
      </c>
      <c r="D21" s="15">
        <f t="shared" ref="D21:I21" si="9">D10/D11</f>
        <v>3.7313432835820892E-2</v>
      </c>
      <c r="E21" s="15">
        <f t="shared" si="9"/>
        <v>3.007518796992481E-2</v>
      </c>
      <c r="F21" s="15">
        <f t="shared" si="9"/>
        <v>5.1660516605166053E-2</v>
      </c>
      <c r="G21" s="15">
        <f t="shared" si="9"/>
        <v>4.3321299638989168E-2</v>
      </c>
      <c r="H21" s="16">
        <f t="shared" si="9"/>
        <v>6.1224489795918366E-2</v>
      </c>
      <c r="I21" s="16">
        <f t="shared" si="9"/>
        <v>5.084745762711864E-2</v>
      </c>
      <c r="J21" s="16">
        <f t="shared" si="4"/>
        <v>4.5740397412156318E-2</v>
      </c>
      <c r="K21" s="17">
        <f t="shared" si="5"/>
        <v>4.5740397412156319</v>
      </c>
      <c r="L21" s="36">
        <v>6</v>
      </c>
      <c r="M21" s="5"/>
      <c r="S21" s="50"/>
    </row>
    <row r="22" spans="1:19" ht="15.6">
      <c r="A22" s="50"/>
      <c r="B22" s="5"/>
      <c r="C22" s="5"/>
      <c r="D22" s="5"/>
      <c r="E22" s="5"/>
      <c r="F22" s="5"/>
      <c r="G22" s="5"/>
      <c r="H22" s="5"/>
      <c r="I22" s="5"/>
      <c r="J22" s="5"/>
      <c r="K22" s="33">
        <f>SUM(K16:K21)</f>
        <v>99.999999999999986</v>
      </c>
      <c r="L22" s="37">
        <f>SUM(L16:L21)</f>
        <v>100</v>
      </c>
      <c r="M22" s="5"/>
      <c r="S22" s="50"/>
    </row>
    <row r="23" spans="1:19">
      <c r="A23" s="50"/>
      <c r="B23" s="5"/>
      <c r="C23" s="19"/>
      <c r="D23" s="5"/>
      <c r="E23" s="5"/>
      <c r="F23" s="5"/>
      <c r="G23" s="5"/>
      <c r="H23" s="5"/>
      <c r="I23" s="5"/>
      <c r="J23" s="5"/>
      <c r="K23" s="5"/>
      <c r="L23" s="5"/>
      <c r="M23" s="5"/>
      <c r="S23" s="50"/>
    </row>
    <row r="24" spans="1:19">
      <c r="A24" s="50"/>
      <c r="B24" s="50"/>
      <c r="C24" s="50"/>
      <c r="D24" s="50"/>
      <c r="E24" s="50"/>
      <c r="F24" s="50"/>
      <c r="G24" s="50"/>
      <c r="H24" s="50"/>
      <c r="I24" s="50"/>
      <c r="J24" s="50"/>
      <c r="K24" s="50"/>
      <c r="L24" s="50"/>
      <c r="M24" s="50"/>
      <c r="N24" s="50"/>
      <c r="O24" s="50"/>
      <c r="P24" s="50"/>
      <c r="Q24" s="50"/>
      <c r="R24" s="50"/>
      <c r="S24" s="50"/>
    </row>
    <row r="25" spans="1:19">
      <c r="A25" s="50"/>
      <c r="B25" s="50"/>
      <c r="C25" s="50"/>
      <c r="D25" s="50"/>
      <c r="E25" s="50"/>
      <c r="F25" s="50"/>
      <c r="G25" s="50"/>
      <c r="H25" s="50"/>
      <c r="I25" s="50"/>
      <c r="J25" s="50"/>
      <c r="K25" s="50"/>
      <c r="L25" s="50"/>
      <c r="M25" s="50"/>
      <c r="N25" s="50"/>
      <c r="O25" s="50"/>
      <c r="P25" s="50"/>
      <c r="Q25" s="50"/>
      <c r="R25" s="50"/>
      <c r="S25" s="50"/>
    </row>
    <row r="26" spans="1:19">
      <c r="A26" s="50"/>
      <c r="B26" s="50"/>
      <c r="C26" s="50"/>
      <c r="D26" s="50"/>
      <c r="E26" s="50"/>
      <c r="F26" s="50"/>
      <c r="G26" s="50"/>
      <c r="H26" s="50"/>
      <c r="I26" s="50"/>
      <c r="J26" s="50"/>
      <c r="K26" s="50"/>
      <c r="L26" s="50"/>
      <c r="M26" s="50"/>
      <c r="N26" s="50"/>
      <c r="O26" s="50"/>
      <c r="P26" s="50"/>
      <c r="Q26" s="50"/>
      <c r="R26" s="50"/>
    </row>
  </sheetData>
  <mergeCells count="12">
    <mergeCell ref="C14:I14"/>
    <mergeCell ref="J14:K14"/>
    <mergeCell ref="K9:L9"/>
    <mergeCell ref="K3:L3"/>
    <mergeCell ref="C3:I3"/>
    <mergeCell ref="C12:K12"/>
    <mergeCell ref="K4:L4"/>
    <mergeCell ref="K5:L5"/>
    <mergeCell ref="K6:L6"/>
    <mergeCell ref="K7:L7"/>
    <mergeCell ref="K8:L8"/>
    <mergeCell ref="C13:L13"/>
  </mergeCells>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sheetPr>
    <tabColor theme="9" tint="-0.249977111117893"/>
  </sheetPr>
  <dimension ref="A1:V26"/>
  <sheetViews>
    <sheetView topLeftCell="H1" zoomScale="53" zoomScaleNormal="94" workbookViewId="0">
      <selection activeCell="N5" sqref="N5"/>
    </sheetView>
  </sheetViews>
  <sheetFormatPr baseColWidth="10" defaultRowHeight="14.4"/>
  <cols>
    <col min="2" max="2" width="27.21875" customWidth="1"/>
    <col min="3" max="3" width="19.5546875" customWidth="1"/>
    <col min="4" max="4" width="24.44140625" customWidth="1"/>
    <col min="5" max="5" width="27.21875" customWidth="1"/>
    <col min="6" max="6" width="36.21875" customWidth="1"/>
    <col min="7" max="7" width="34.21875" customWidth="1"/>
    <col min="8" max="9" width="48.77734375" customWidth="1"/>
    <col min="10" max="10" width="18.21875" customWidth="1"/>
    <col min="12" max="12" width="33" customWidth="1"/>
    <col min="13" max="13" width="19.5546875" style="97" customWidth="1"/>
    <col min="14" max="14" width="41.88671875" customWidth="1"/>
    <col min="15" max="15" width="21.5546875" customWidth="1"/>
    <col min="16" max="17" width="27.77734375" customWidth="1"/>
    <col min="18" max="18" width="27.33203125" customWidth="1"/>
  </cols>
  <sheetData>
    <row r="1" spans="1:22" ht="25.95" customHeight="1" thickBot="1">
      <c r="A1" s="50"/>
      <c r="B1" s="6" t="s">
        <v>148</v>
      </c>
      <c r="C1" s="6" t="s">
        <v>2</v>
      </c>
      <c r="D1" s="6" t="s">
        <v>256</v>
      </c>
      <c r="E1" s="6" t="s">
        <v>257</v>
      </c>
      <c r="F1" s="6" t="s">
        <v>258</v>
      </c>
      <c r="G1" s="6" t="s">
        <v>259</v>
      </c>
      <c r="H1" s="6" t="s">
        <v>260</v>
      </c>
      <c r="I1" s="54" t="s">
        <v>548</v>
      </c>
      <c r="J1" s="54" t="s">
        <v>272</v>
      </c>
      <c r="K1" s="50"/>
      <c r="L1" s="96" t="s">
        <v>590</v>
      </c>
      <c r="M1" s="95" t="s">
        <v>588</v>
      </c>
      <c r="N1" s="95" t="s">
        <v>589</v>
      </c>
    </row>
    <row r="2" spans="1:22" ht="97.5" customHeight="1" thickBot="1">
      <c r="A2" s="50"/>
      <c r="B2" s="140" t="s">
        <v>1</v>
      </c>
      <c r="C2" s="145" t="s">
        <v>38</v>
      </c>
      <c r="D2" s="4" t="s">
        <v>40</v>
      </c>
      <c r="E2" s="12" t="s">
        <v>41</v>
      </c>
      <c r="F2" s="12" t="s">
        <v>42</v>
      </c>
      <c r="G2" s="10" t="s">
        <v>179</v>
      </c>
      <c r="H2" s="68" t="s">
        <v>276</v>
      </c>
      <c r="I2" s="68" t="s">
        <v>549</v>
      </c>
      <c r="J2" s="4" t="s">
        <v>274</v>
      </c>
      <c r="K2" s="50"/>
      <c r="L2" s="103">
        <f>N2/R2</f>
        <v>0.875</v>
      </c>
      <c r="M2" s="96" t="s">
        <v>275</v>
      </c>
      <c r="N2" s="106">
        <f>COUNTIF(J2:J24,"Yes")</f>
        <v>14</v>
      </c>
      <c r="O2" s="102" t="s">
        <v>279</v>
      </c>
      <c r="P2" s="104">
        <f>COUNTA(H2:H24)</f>
        <v>17</v>
      </c>
      <c r="Q2" s="95" t="s">
        <v>591</v>
      </c>
      <c r="R2" s="105">
        <f>P2-N4</f>
        <v>16</v>
      </c>
    </row>
    <row r="3" spans="1:22" ht="81" customHeight="1">
      <c r="A3" s="50"/>
      <c r="B3" s="141"/>
      <c r="C3" s="145"/>
      <c r="D3" s="4" t="s">
        <v>43</v>
      </c>
      <c r="E3" s="12" t="s">
        <v>44</v>
      </c>
      <c r="F3" s="12" t="s">
        <v>45</v>
      </c>
      <c r="G3" s="10" t="s">
        <v>180</v>
      </c>
      <c r="H3" s="70" t="s">
        <v>271</v>
      </c>
      <c r="I3" s="70" t="s">
        <v>550</v>
      </c>
      <c r="J3" s="4" t="s">
        <v>273</v>
      </c>
      <c r="K3" s="50"/>
      <c r="L3" s="50"/>
      <c r="M3" s="109" t="s">
        <v>273</v>
      </c>
      <c r="N3" s="107">
        <f>COUNTIF(J2:J24,"No")</f>
        <v>2</v>
      </c>
      <c r="O3" s="57"/>
      <c r="P3" s="57"/>
    </row>
    <row r="4" spans="1:22" ht="79.95" customHeight="1" thickBot="1">
      <c r="A4" s="50"/>
      <c r="B4" s="141"/>
      <c r="C4" s="4" t="s">
        <v>55</v>
      </c>
      <c r="D4" s="4" t="s">
        <v>59</v>
      </c>
      <c r="E4" s="26" t="s">
        <v>60</v>
      </c>
      <c r="F4" s="12" t="s">
        <v>61</v>
      </c>
      <c r="G4" s="10" t="s">
        <v>184</v>
      </c>
      <c r="H4" s="70" t="s">
        <v>277</v>
      </c>
      <c r="I4" s="70" t="s">
        <v>551</v>
      </c>
      <c r="J4" s="4" t="s">
        <v>275</v>
      </c>
      <c r="K4" s="50"/>
      <c r="L4" s="50"/>
      <c r="M4" s="110" t="s">
        <v>274</v>
      </c>
      <c r="N4" s="108">
        <f>COUNTIF(J2:J24,"N/A")</f>
        <v>1</v>
      </c>
      <c r="V4" s="79"/>
    </row>
    <row r="5" spans="1:22" ht="87" thickBot="1">
      <c r="A5" s="50"/>
      <c r="B5" s="141"/>
      <c r="C5" s="3" t="s">
        <v>283</v>
      </c>
      <c r="D5" s="4" t="s">
        <v>284</v>
      </c>
      <c r="E5" s="42" t="s">
        <v>450</v>
      </c>
      <c r="F5" s="42" t="s">
        <v>451</v>
      </c>
      <c r="G5" s="42" t="s">
        <v>452</v>
      </c>
      <c r="H5" s="2" t="s">
        <v>285</v>
      </c>
      <c r="I5" s="2" t="s">
        <v>552</v>
      </c>
      <c r="J5" s="4" t="s">
        <v>275</v>
      </c>
      <c r="K5" s="50"/>
      <c r="L5" s="50"/>
      <c r="M5" s="92" t="s">
        <v>611</v>
      </c>
      <c r="N5" s="126" t="s">
        <v>612</v>
      </c>
    </row>
    <row r="6" spans="1:22" ht="91.05" customHeight="1">
      <c r="A6" s="50"/>
      <c r="B6" s="141"/>
      <c r="C6" s="146" t="s">
        <v>293</v>
      </c>
      <c r="D6" s="4" t="s">
        <v>286</v>
      </c>
      <c r="E6" s="24" t="s">
        <v>453</v>
      </c>
      <c r="F6" s="24" t="s">
        <v>454</v>
      </c>
      <c r="G6" s="24" t="s">
        <v>455</v>
      </c>
      <c r="H6" s="42" t="s">
        <v>554</v>
      </c>
      <c r="I6" s="42" t="s">
        <v>553</v>
      </c>
      <c r="J6" s="4" t="s">
        <v>275</v>
      </c>
      <c r="K6" s="50"/>
      <c r="L6" s="50"/>
    </row>
    <row r="7" spans="1:22" ht="43.5" customHeight="1">
      <c r="A7" s="50"/>
      <c r="B7" s="141"/>
      <c r="C7" s="147"/>
      <c r="D7" s="140" t="s">
        <v>287</v>
      </c>
      <c r="E7" s="143" t="s">
        <v>456</v>
      </c>
      <c r="F7" s="143" t="s">
        <v>457</v>
      </c>
      <c r="G7" s="143" t="s">
        <v>458</v>
      </c>
      <c r="H7" s="143" t="s">
        <v>302</v>
      </c>
      <c r="I7" s="82" t="s">
        <v>555</v>
      </c>
      <c r="J7" s="140" t="s">
        <v>273</v>
      </c>
      <c r="K7" s="50"/>
      <c r="L7" s="50"/>
    </row>
    <row r="8" spans="1:22" ht="43.5" customHeight="1">
      <c r="A8" s="50"/>
      <c r="B8" s="141"/>
      <c r="C8" s="147"/>
      <c r="D8" s="141"/>
      <c r="E8" s="144"/>
      <c r="F8" s="144"/>
      <c r="G8" s="144"/>
      <c r="H8" s="144"/>
      <c r="I8" s="83"/>
      <c r="J8" s="142"/>
      <c r="K8" s="50"/>
      <c r="L8" s="50"/>
    </row>
    <row r="9" spans="1:22" ht="49.95" customHeight="1">
      <c r="A9" s="50"/>
      <c r="B9" s="141"/>
      <c r="C9" s="147"/>
      <c r="D9" s="142"/>
      <c r="E9" s="24" t="s">
        <v>459</v>
      </c>
      <c r="F9" s="24" t="s">
        <v>460</v>
      </c>
      <c r="G9" s="24" t="s">
        <v>461</v>
      </c>
      <c r="H9" s="42" t="s">
        <v>294</v>
      </c>
      <c r="I9" s="42" t="s">
        <v>556</v>
      </c>
      <c r="J9" s="4" t="s">
        <v>275</v>
      </c>
      <c r="K9" s="50"/>
      <c r="L9" s="50"/>
    </row>
    <row r="10" spans="1:22" ht="43.5" customHeight="1">
      <c r="A10" s="50"/>
      <c r="B10" s="141"/>
      <c r="C10" s="147"/>
      <c r="D10" s="140" t="s">
        <v>288</v>
      </c>
      <c r="E10" s="24" t="s">
        <v>462</v>
      </c>
      <c r="F10" s="24" t="s">
        <v>463</v>
      </c>
      <c r="G10" s="24" t="s">
        <v>464</v>
      </c>
      <c r="H10" s="2" t="s">
        <v>296</v>
      </c>
      <c r="I10" s="2" t="s">
        <v>557</v>
      </c>
      <c r="J10" s="4" t="s">
        <v>275</v>
      </c>
      <c r="K10" s="50"/>
      <c r="L10" s="50"/>
    </row>
    <row r="11" spans="1:22" ht="43.5" customHeight="1">
      <c r="A11" s="50"/>
      <c r="B11" s="141"/>
      <c r="C11" s="147"/>
      <c r="D11" s="141"/>
      <c r="E11" s="143" t="s">
        <v>465</v>
      </c>
      <c r="F11" s="143" t="s">
        <v>466</v>
      </c>
      <c r="G11" s="143" t="s">
        <v>467</v>
      </c>
      <c r="H11" s="143" t="s">
        <v>295</v>
      </c>
      <c r="I11" s="82" t="s">
        <v>558</v>
      </c>
      <c r="J11" s="140" t="s">
        <v>275</v>
      </c>
      <c r="K11" s="50"/>
      <c r="L11" s="50"/>
    </row>
    <row r="12" spans="1:22" ht="43.5" customHeight="1">
      <c r="A12" s="50"/>
      <c r="B12" s="141"/>
      <c r="C12" s="147"/>
      <c r="D12" s="142"/>
      <c r="E12" s="144"/>
      <c r="F12" s="144"/>
      <c r="G12" s="144"/>
      <c r="H12" s="144"/>
      <c r="I12" s="83"/>
      <c r="J12" s="142"/>
      <c r="K12" s="50"/>
      <c r="L12" s="50"/>
    </row>
    <row r="13" spans="1:22" ht="43.2">
      <c r="A13" s="50"/>
      <c r="B13" s="141"/>
      <c r="C13" s="147"/>
      <c r="D13" s="140" t="s">
        <v>289</v>
      </c>
      <c r="E13" s="42" t="s">
        <v>468</v>
      </c>
      <c r="F13" s="2" t="s">
        <v>471</v>
      </c>
      <c r="G13" s="69" t="s">
        <v>476</v>
      </c>
      <c r="H13" s="42" t="s">
        <v>297</v>
      </c>
      <c r="I13" s="42" t="s">
        <v>559</v>
      </c>
      <c r="J13" s="4" t="s">
        <v>275</v>
      </c>
      <c r="K13" s="50"/>
      <c r="L13" s="50"/>
    </row>
    <row r="14" spans="1:22" ht="53.55" customHeight="1">
      <c r="A14" s="50"/>
      <c r="B14" s="141"/>
      <c r="C14" s="147"/>
      <c r="D14" s="141"/>
      <c r="E14" s="42" t="s">
        <v>469</v>
      </c>
      <c r="F14" s="2" t="s">
        <v>472</v>
      </c>
      <c r="G14" s="49" t="s">
        <v>474</v>
      </c>
      <c r="H14" s="42" t="s">
        <v>303</v>
      </c>
      <c r="I14" s="42" t="s">
        <v>560</v>
      </c>
      <c r="J14" s="4" t="s">
        <v>275</v>
      </c>
      <c r="K14" s="50"/>
      <c r="L14" s="50"/>
    </row>
    <row r="15" spans="1:22" ht="51" customHeight="1">
      <c r="A15" s="50"/>
      <c r="B15" s="141"/>
      <c r="C15" s="147"/>
      <c r="D15" s="142"/>
      <c r="E15" s="42" t="s">
        <v>470</v>
      </c>
      <c r="F15" s="2" t="s">
        <v>473</v>
      </c>
      <c r="G15" s="49" t="s">
        <v>475</v>
      </c>
      <c r="H15" s="2" t="s">
        <v>304</v>
      </c>
      <c r="I15" s="2" t="s">
        <v>561</v>
      </c>
      <c r="J15" s="4" t="s">
        <v>275</v>
      </c>
      <c r="K15" s="50"/>
      <c r="L15" s="50"/>
    </row>
    <row r="16" spans="1:22" ht="47.55" customHeight="1">
      <c r="A16" s="50"/>
      <c r="B16" s="141"/>
      <c r="C16" s="147"/>
      <c r="D16" s="140" t="s">
        <v>290</v>
      </c>
      <c r="E16" s="143" t="s">
        <v>477</v>
      </c>
      <c r="F16" s="143" t="s">
        <v>478</v>
      </c>
      <c r="G16" s="143" t="s">
        <v>479</v>
      </c>
      <c r="H16" s="143" t="s">
        <v>301</v>
      </c>
      <c r="I16" s="82" t="s">
        <v>562</v>
      </c>
      <c r="J16" s="140" t="s">
        <v>275</v>
      </c>
      <c r="K16" s="50"/>
      <c r="L16" s="50"/>
    </row>
    <row r="17" spans="1:12" ht="22.05" hidden="1" customHeight="1">
      <c r="A17" s="50"/>
      <c r="B17" s="141"/>
      <c r="C17" s="147"/>
      <c r="D17" s="141"/>
      <c r="E17" s="150"/>
      <c r="F17" s="150"/>
      <c r="G17" s="150"/>
      <c r="H17" s="150"/>
      <c r="I17" s="84"/>
      <c r="J17" s="141"/>
      <c r="K17" s="50"/>
      <c r="L17" s="50"/>
    </row>
    <row r="18" spans="1:12">
      <c r="A18" s="50"/>
      <c r="B18" s="141"/>
      <c r="C18" s="147"/>
      <c r="D18" s="142"/>
      <c r="E18" s="144"/>
      <c r="F18" s="144"/>
      <c r="G18" s="144"/>
      <c r="H18" s="144"/>
      <c r="I18" s="83"/>
      <c r="J18" s="142"/>
      <c r="K18" s="50"/>
      <c r="L18" s="50"/>
    </row>
    <row r="19" spans="1:12" ht="61.95" customHeight="1">
      <c r="A19" s="50"/>
      <c r="B19" s="141"/>
      <c r="C19" s="147"/>
      <c r="D19" s="140" t="s">
        <v>291</v>
      </c>
      <c r="E19" s="24" t="s">
        <v>480</v>
      </c>
      <c r="F19" s="24" t="s">
        <v>484</v>
      </c>
      <c r="G19" s="2" t="s">
        <v>488</v>
      </c>
      <c r="H19" s="24" t="s">
        <v>298</v>
      </c>
      <c r="I19" s="24" t="s">
        <v>563</v>
      </c>
      <c r="J19" s="4" t="s">
        <v>275</v>
      </c>
      <c r="K19" s="50"/>
      <c r="L19" s="50"/>
    </row>
    <row r="20" spans="1:12">
      <c r="A20" s="50"/>
      <c r="B20" s="141"/>
      <c r="C20" s="147"/>
      <c r="D20" s="141"/>
      <c r="E20" s="143" t="s">
        <v>481</v>
      </c>
      <c r="F20" s="143" t="s">
        <v>485</v>
      </c>
      <c r="G20" s="151" t="s">
        <v>489</v>
      </c>
      <c r="H20" s="143" t="s">
        <v>300</v>
      </c>
      <c r="I20" s="82"/>
      <c r="J20" s="140" t="s">
        <v>275</v>
      </c>
      <c r="K20" s="50"/>
      <c r="L20" s="50"/>
    </row>
    <row r="21" spans="1:12" ht="28.95" customHeight="1">
      <c r="A21" s="50"/>
      <c r="B21" s="141"/>
      <c r="C21" s="147"/>
      <c r="D21" s="141"/>
      <c r="E21" s="144"/>
      <c r="F21" s="144"/>
      <c r="G21" s="152"/>
      <c r="H21" s="144"/>
      <c r="I21" s="83" t="s">
        <v>564</v>
      </c>
      <c r="J21" s="142"/>
      <c r="K21" s="50"/>
      <c r="L21" s="50"/>
    </row>
    <row r="22" spans="1:12" ht="39.450000000000003" customHeight="1">
      <c r="A22" s="50"/>
      <c r="B22" s="141"/>
      <c r="C22" s="147"/>
      <c r="D22" s="141"/>
      <c r="E22" s="24" t="s">
        <v>482</v>
      </c>
      <c r="F22" s="24" t="s">
        <v>486</v>
      </c>
      <c r="G22" s="24" t="s">
        <v>490</v>
      </c>
      <c r="H22" s="65" t="s">
        <v>336</v>
      </c>
      <c r="I22" s="65" t="s">
        <v>565</v>
      </c>
      <c r="J22" s="61" t="s">
        <v>275</v>
      </c>
      <c r="K22" s="50"/>
      <c r="L22" s="50"/>
    </row>
    <row r="23" spans="1:12" ht="42" customHeight="1">
      <c r="A23" s="50"/>
      <c r="B23" s="141"/>
      <c r="C23" s="147"/>
      <c r="D23" s="145" t="s">
        <v>292</v>
      </c>
      <c r="E23" s="143" t="s">
        <v>483</v>
      </c>
      <c r="F23" s="149" t="s">
        <v>487</v>
      </c>
      <c r="G23" s="143" t="s">
        <v>491</v>
      </c>
      <c r="H23" s="143" t="s">
        <v>299</v>
      </c>
      <c r="I23" s="82" t="s">
        <v>566</v>
      </c>
      <c r="J23" s="140" t="s">
        <v>275</v>
      </c>
      <c r="K23" s="50"/>
      <c r="L23" s="50"/>
    </row>
    <row r="24" spans="1:12" ht="28.95" customHeight="1">
      <c r="A24" s="50"/>
      <c r="B24" s="142"/>
      <c r="C24" s="148"/>
      <c r="D24" s="145"/>
      <c r="E24" s="144"/>
      <c r="F24" s="149"/>
      <c r="G24" s="144"/>
      <c r="H24" s="144"/>
      <c r="I24" s="83"/>
      <c r="J24" s="142"/>
      <c r="K24" s="50"/>
      <c r="L24" s="50"/>
    </row>
    <row r="25" spans="1:12">
      <c r="A25" s="50"/>
      <c r="B25" s="50"/>
      <c r="C25" s="50"/>
      <c r="D25" s="50"/>
      <c r="E25" s="50"/>
      <c r="F25" s="50"/>
      <c r="G25" s="50"/>
      <c r="H25" s="50"/>
      <c r="I25" s="50"/>
      <c r="J25" s="50"/>
      <c r="K25" s="50"/>
      <c r="L25" s="50"/>
    </row>
    <row r="26" spans="1:12">
      <c r="A26" s="50"/>
      <c r="B26" s="50"/>
      <c r="C26" s="50"/>
      <c r="D26" s="50"/>
      <c r="E26" s="50"/>
      <c r="F26" s="50"/>
      <c r="G26" s="50"/>
      <c r="H26" s="50"/>
      <c r="I26" s="50"/>
      <c r="J26" s="50"/>
      <c r="K26" s="50"/>
      <c r="L26" s="50"/>
    </row>
  </sheetData>
  <mergeCells count="34">
    <mergeCell ref="G20:G21"/>
    <mergeCell ref="J20:J21"/>
    <mergeCell ref="J23:J24"/>
    <mergeCell ref="J16:J18"/>
    <mergeCell ref="H7:H8"/>
    <mergeCell ref="J7:J8"/>
    <mergeCell ref="H11:H12"/>
    <mergeCell ref="J11:J12"/>
    <mergeCell ref="D19:D22"/>
    <mergeCell ref="D23:D24"/>
    <mergeCell ref="C6:C24"/>
    <mergeCell ref="B2:B24"/>
    <mergeCell ref="H23:H24"/>
    <mergeCell ref="H20:H21"/>
    <mergeCell ref="G23:G24"/>
    <mergeCell ref="F23:F24"/>
    <mergeCell ref="E23:E24"/>
    <mergeCell ref="D16:D18"/>
    <mergeCell ref="G16:G18"/>
    <mergeCell ref="F16:F18"/>
    <mergeCell ref="E16:E18"/>
    <mergeCell ref="H16:H18"/>
    <mergeCell ref="E20:E21"/>
    <mergeCell ref="F20:F21"/>
    <mergeCell ref="D7:D9"/>
    <mergeCell ref="G7:G8"/>
    <mergeCell ref="F7:F8"/>
    <mergeCell ref="E7:E8"/>
    <mergeCell ref="C2:C3"/>
    <mergeCell ref="D10:D12"/>
    <mergeCell ref="D13:D15"/>
    <mergeCell ref="G11:G12"/>
    <mergeCell ref="F11:F12"/>
    <mergeCell ref="E11:E12"/>
  </mergeCells>
  <conditionalFormatting sqref="B1:E1">
    <cfRule type="expression" dxfId="48" priority="9">
      <formula>$A1="header"</formula>
    </cfRule>
  </conditionalFormatting>
  <conditionalFormatting sqref="B1:J1">
    <cfRule type="expression" dxfId="47" priority="5">
      <formula>$A1="header"</formula>
    </cfRule>
    <cfRule type="expression" dxfId="46" priority="6">
      <formula>$A1="blank"</formula>
    </cfRule>
  </conditionalFormatting>
  <conditionalFormatting sqref="J2:J7 J9:J11 J13:J16 J19:J20 J22:J23">
    <cfRule type="cellIs" dxfId="45" priority="1" operator="equal">
      <formula>"N/A"</formula>
    </cfRule>
    <cfRule type="cellIs" dxfId="44" priority="2" operator="equal">
      <formula>"N/A"</formula>
    </cfRule>
    <cfRule type="cellIs" dxfId="43" priority="3" operator="equal">
      <formula>"No"</formula>
    </cfRule>
    <cfRule type="cellIs" dxfId="42" priority="4" operator="equal">
      <formula>"Yes"</formula>
    </cfRule>
  </conditionalFormatting>
  <dataValidations count="2">
    <dataValidation type="list" allowBlank="1" showInputMessage="1" showErrorMessage="1" sqref="J22:J23 J19:J20 J2:J7 J9:J11 J13:J16">
      <formula1>"Yes,No,N/A"</formula1>
    </dataValidation>
    <dataValidation type="list" allowBlank="1" showInputMessage="1" showErrorMessage="1" sqref="N5">
      <formula1>"Oumayma,Dhia"</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theme="9" tint="-0.249977111117893"/>
  </sheetPr>
  <dimension ref="A1:S13"/>
  <sheetViews>
    <sheetView topLeftCell="E1" zoomScale="42" zoomScaleNormal="88" workbookViewId="0">
      <selection activeCell="M7" sqref="M7"/>
    </sheetView>
  </sheetViews>
  <sheetFormatPr baseColWidth="10" defaultRowHeight="14.4"/>
  <cols>
    <col min="2" max="2" width="24.21875" customWidth="1"/>
    <col min="3" max="3" width="19.21875" customWidth="1"/>
    <col min="4" max="4" width="26" customWidth="1"/>
    <col min="5" max="5" width="32.21875" customWidth="1"/>
    <col min="6" max="6" width="33.88671875" customWidth="1"/>
    <col min="7" max="7" width="52.21875" customWidth="1"/>
    <col min="8" max="8" width="68.21875" customWidth="1"/>
    <col min="9" max="9" width="34.21875" customWidth="1"/>
    <col min="12" max="12" width="33.5546875" customWidth="1"/>
    <col min="13" max="13" width="39.33203125" customWidth="1"/>
    <col min="14" max="14" width="16.77734375" customWidth="1"/>
    <col min="15" max="15" width="17.44140625" customWidth="1"/>
    <col min="16" max="16" width="19" customWidth="1"/>
    <col min="17" max="17" width="20.88671875" customWidth="1"/>
    <col min="18" max="18" width="38.5546875" customWidth="1"/>
  </cols>
  <sheetData>
    <row r="1" spans="1:19" ht="25.05" customHeight="1" thickBot="1">
      <c r="A1" s="59"/>
      <c r="B1" s="59"/>
      <c r="C1" s="59"/>
      <c r="D1" s="59"/>
      <c r="E1" s="59"/>
      <c r="F1" s="59"/>
      <c r="G1" s="59"/>
      <c r="H1" s="59"/>
      <c r="I1" s="59"/>
      <c r="J1" s="59"/>
      <c r="K1" s="59"/>
      <c r="L1" s="59"/>
      <c r="M1" s="59"/>
      <c r="N1" s="59"/>
      <c r="O1" s="59"/>
      <c r="P1" s="59"/>
      <c r="Q1" s="59"/>
      <c r="R1" s="59"/>
      <c r="S1" s="59"/>
    </row>
    <row r="2" spans="1:19" ht="21.45" customHeight="1" thickBot="1">
      <c r="A2" s="159"/>
      <c r="B2" s="160"/>
      <c r="C2" s="160"/>
      <c r="D2" s="160"/>
      <c r="E2" s="160"/>
      <c r="F2" s="160"/>
      <c r="G2" s="160"/>
      <c r="H2" s="160"/>
      <c r="I2" s="53"/>
      <c r="J2" s="159"/>
      <c r="K2" s="159"/>
      <c r="L2" s="163" t="s">
        <v>279</v>
      </c>
      <c r="M2" s="164"/>
      <c r="N2" s="58" t="s">
        <v>275</v>
      </c>
      <c r="O2" s="58" t="s">
        <v>273</v>
      </c>
      <c r="P2" s="58" t="s">
        <v>274</v>
      </c>
      <c r="Q2" s="58" t="s">
        <v>600</v>
      </c>
      <c r="R2" s="58" t="s">
        <v>521</v>
      </c>
      <c r="S2" s="59"/>
    </row>
    <row r="3" spans="1:19" ht="28.05" customHeight="1">
      <c r="A3" s="159"/>
      <c r="B3" s="43" t="s">
        <v>148</v>
      </c>
      <c r="C3" s="43" t="s">
        <v>2</v>
      </c>
      <c r="D3" s="43" t="s">
        <v>256</v>
      </c>
      <c r="E3" s="43" t="s">
        <v>257</v>
      </c>
      <c r="F3" s="43" t="s">
        <v>258</v>
      </c>
      <c r="G3" s="43" t="s">
        <v>259</v>
      </c>
      <c r="H3" s="116" t="s">
        <v>260</v>
      </c>
      <c r="I3" s="56" t="s">
        <v>272</v>
      </c>
      <c r="J3" s="159"/>
      <c r="K3" s="159"/>
      <c r="L3" s="153">
        <f>COUNTA(I4:I13)</f>
        <v>4</v>
      </c>
      <c r="M3" s="165"/>
      <c r="N3" s="168">
        <f>COUNTIF(I4:I12,"Yes")</f>
        <v>2</v>
      </c>
      <c r="O3" s="171">
        <f>COUNTIF(I4:I12,"No")</f>
        <v>1</v>
      </c>
      <c r="P3" s="174">
        <f>COUNTIF(I4:I12,"N/A")</f>
        <v>1</v>
      </c>
      <c r="Q3" s="153">
        <f>L3-P3</f>
        <v>3</v>
      </c>
      <c r="R3" s="156">
        <f>N3/Q3</f>
        <v>0.66666666666666663</v>
      </c>
      <c r="S3" s="59"/>
    </row>
    <row r="4" spans="1:19" ht="73.95" customHeight="1">
      <c r="A4" s="159"/>
      <c r="B4" s="140" t="s">
        <v>101</v>
      </c>
      <c r="C4" s="140" t="s">
        <v>0</v>
      </c>
      <c r="D4" s="149" t="s">
        <v>228</v>
      </c>
      <c r="E4" s="149" t="s">
        <v>230</v>
      </c>
      <c r="F4" s="143" t="s">
        <v>249</v>
      </c>
      <c r="G4" s="24" t="s">
        <v>229</v>
      </c>
      <c r="H4" s="162" t="s">
        <v>262</v>
      </c>
      <c r="I4" s="145" t="s">
        <v>275</v>
      </c>
      <c r="J4" s="159"/>
      <c r="K4" s="159"/>
      <c r="L4" s="154"/>
      <c r="M4" s="166"/>
      <c r="N4" s="169"/>
      <c r="O4" s="172"/>
      <c r="P4" s="175"/>
      <c r="Q4" s="154"/>
      <c r="R4" s="157"/>
      <c r="S4" s="59"/>
    </row>
    <row r="5" spans="1:19" ht="78" customHeight="1" thickBot="1">
      <c r="A5" s="159"/>
      <c r="B5" s="141"/>
      <c r="C5" s="141"/>
      <c r="D5" s="149"/>
      <c r="E5" s="149"/>
      <c r="F5" s="150"/>
      <c r="G5" s="24" t="s">
        <v>231</v>
      </c>
      <c r="H5" s="162"/>
      <c r="I5" s="145"/>
      <c r="J5" s="159"/>
      <c r="K5" s="159"/>
      <c r="L5" s="155"/>
      <c r="M5" s="167"/>
      <c r="N5" s="170"/>
      <c r="O5" s="173"/>
      <c r="P5" s="176"/>
      <c r="Q5" s="155"/>
      <c r="R5" s="158"/>
      <c r="S5" s="59"/>
    </row>
    <row r="6" spans="1:19" ht="72.599999999999994" thickBot="1">
      <c r="A6" s="159"/>
      <c r="B6" s="141"/>
      <c r="C6" s="141"/>
      <c r="D6" s="149"/>
      <c r="E6" s="149"/>
      <c r="F6" s="144"/>
      <c r="G6" s="24" t="s">
        <v>232</v>
      </c>
      <c r="H6" s="162"/>
      <c r="I6" s="145"/>
      <c r="J6" s="159"/>
      <c r="K6" s="159"/>
      <c r="L6" s="59"/>
      <c r="M6" s="59"/>
      <c r="N6" s="59"/>
      <c r="O6" s="59"/>
      <c r="P6" s="59"/>
      <c r="Q6" s="59"/>
      <c r="R6" s="59"/>
      <c r="S6" s="59"/>
    </row>
    <row r="7" spans="1:19" ht="109.05" customHeight="1" thickBot="1">
      <c r="A7" s="159"/>
      <c r="B7" s="141"/>
      <c r="C7" s="141"/>
      <c r="D7" s="24" t="s">
        <v>234</v>
      </c>
      <c r="E7" s="24" t="s">
        <v>233</v>
      </c>
      <c r="F7" s="24" t="s">
        <v>250</v>
      </c>
      <c r="G7" s="24" t="s">
        <v>236</v>
      </c>
      <c r="H7" s="162" t="s">
        <v>263</v>
      </c>
      <c r="I7" s="145" t="s">
        <v>274</v>
      </c>
      <c r="J7" s="159"/>
      <c r="K7" s="159"/>
      <c r="L7" s="92" t="s">
        <v>611</v>
      </c>
      <c r="M7" s="126" t="s">
        <v>612</v>
      </c>
      <c r="N7" s="114"/>
    </row>
    <row r="8" spans="1:19" ht="102" customHeight="1">
      <c r="A8" s="159"/>
      <c r="B8" s="141"/>
      <c r="C8" s="141"/>
      <c r="D8" s="24" t="s">
        <v>235</v>
      </c>
      <c r="E8" s="24" t="s">
        <v>237</v>
      </c>
      <c r="F8" s="24" t="s">
        <v>251</v>
      </c>
      <c r="G8" s="24" t="s">
        <v>238</v>
      </c>
      <c r="H8" s="162"/>
      <c r="I8" s="145"/>
      <c r="J8" s="159"/>
      <c r="K8" s="159"/>
      <c r="N8" s="115"/>
    </row>
    <row r="9" spans="1:19" ht="252" customHeight="1">
      <c r="A9" s="159"/>
      <c r="B9" s="141"/>
      <c r="C9" s="141"/>
      <c r="D9" s="24" t="s">
        <v>244</v>
      </c>
      <c r="E9" s="24" t="s">
        <v>245</v>
      </c>
      <c r="F9" s="24" t="s">
        <v>254</v>
      </c>
      <c r="G9" s="24" t="s">
        <v>246</v>
      </c>
      <c r="H9" s="162" t="s">
        <v>265</v>
      </c>
      <c r="I9" s="145" t="s">
        <v>273</v>
      </c>
      <c r="J9" s="159"/>
      <c r="K9" s="159"/>
    </row>
    <row r="10" spans="1:19" ht="139.05000000000001" customHeight="1">
      <c r="A10" s="159"/>
      <c r="B10" s="141"/>
      <c r="C10" s="141"/>
      <c r="D10" s="24" t="s">
        <v>248</v>
      </c>
      <c r="E10" s="24" t="s">
        <v>242</v>
      </c>
      <c r="F10" s="24" t="s">
        <v>253</v>
      </c>
      <c r="G10" s="24" t="s">
        <v>243</v>
      </c>
      <c r="H10" s="162"/>
      <c r="I10" s="145"/>
      <c r="J10" s="159"/>
      <c r="K10" s="159"/>
    </row>
    <row r="11" spans="1:19" ht="64.95" customHeight="1">
      <c r="A11" s="159"/>
      <c r="B11" s="142"/>
      <c r="C11" s="142"/>
      <c r="D11" s="24" t="s">
        <v>239</v>
      </c>
      <c r="E11" s="24" t="s">
        <v>240</v>
      </c>
      <c r="F11" s="24" t="s">
        <v>252</v>
      </c>
      <c r="G11" s="24" t="s">
        <v>241</v>
      </c>
      <c r="H11" s="44" t="s">
        <v>264</v>
      </c>
      <c r="I11" s="4" t="s">
        <v>275</v>
      </c>
      <c r="J11" s="159"/>
      <c r="K11" s="159"/>
    </row>
    <row r="12" spans="1:19">
      <c r="A12" s="159"/>
      <c r="B12" s="161"/>
      <c r="C12" s="161"/>
      <c r="D12" s="161"/>
      <c r="E12" s="161"/>
      <c r="F12" s="161"/>
      <c r="G12" s="161"/>
      <c r="H12" s="161"/>
      <c r="I12" s="53"/>
      <c r="J12" s="159"/>
      <c r="K12" s="159"/>
    </row>
    <row r="13" spans="1:19">
      <c r="A13" s="159"/>
      <c r="B13" s="159"/>
      <c r="C13" s="159"/>
      <c r="D13" s="159"/>
      <c r="E13" s="159"/>
      <c r="F13" s="159"/>
      <c r="G13" s="159"/>
      <c r="H13" s="159"/>
      <c r="I13" s="53"/>
      <c r="J13" s="159"/>
      <c r="K13" s="159"/>
    </row>
  </sheetData>
  <mergeCells count="22">
    <mergeCell ref="I9:I10"/>
    <mergeCell ref="O3:O5"/>
    <mergeCell ref="P3:P5"/>
    <mergeCell ref="F4:F6"/>
    <mergeCell ref="H4:H6"/>
    <mergeCell ref="H7:H8"/>
    <mergeCell ref="Q3:Q5"/>
    <mergeCell ref="R3:R5"/>
    <mergeCell ref="B4:B11"/>
    <mergeCell ref="A2:A13"/>
    <mergeCell ref="B2:H2"/>
    <mergeCell ref="B12:H13"/>
    <mergeCell ref="D4:D6"/>
    <mergeCell ref="E4:E6"/>
    <mergeCell ref="H9:H10"/>
    <mergeCell ref="L2:M2"/>
    <mergeCell ref="L3:M5"/>
    <mergeCell ref="N3:N5"/>
    <mergeCell ref="C4:C11"/>
    <mergeCell ref="J2:K13"/>
    <mergeCell ref="I4:I6"/>
    <mergeCell ref="I7:I8"/>
  </mergeCells>
  <conditionalFormatting sqref="H3:I3">
    <cfRule type="expression" dxfId="41" priority="5">
      <formula>$A3="header"</formula>
    </cfRule>
    <cfRule type="expression" dxfId="40" priority="6">
      <formula>$A3="blank"</formula>
    </cfRule>
  </conditionalFormatting>
  <conditionalFormatting sqref="I4 I7 I9 I11">
    <cfRule type="cellIs" dxfId="39" priority="1" operator="equal">
      <formula>"N/A"</formula>
    </cfRule>
    <cfRule type="cellIs" dxfId="38" priority="2" operator="equal">
      <formula>"N/A"</formula>
    </cfRule>
    <cfRule type="cellIs" dxfId="37" priority="3" operator="equal">
      <formula>"No"</formula>
    </cfRule>
    <cfRule type="cellIs" dxfId="36" priority="4" operator="equal">
      <formula>"Yes"</formula>
    </cfRule>
  </conditionalFormatting>
  <dataValidations count="2">
    <dataValidation type="list" allowBlank="1" showInputMessage="1" showErrorMessage="1" sqref="I4 I7 I9 I11">
      <formula1>"Yes,No,N/A"</formula1>
    </dataValidation>
    <dataValidation type="list" allowBlank="1" showInputMessage="1" showErrorMessage="1" sqref="M7">
      <formula1>"Oumayma,Dhia"</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sheetPr>
    <tabColor theme="9" tint="-0.249977111117893"/>
  </sheetPr>
  <dimension ref="A1:AF38"/>
  <sheetViews>
    <sheetView topLeftCell="J1" zoomScale="64" workbookViewId="0">
      <selection activeCell="T3" sqref="T3"/>
    </sheetView>
  </sheetViews>
  <sheetFormatPr baseColWidth="10" defaultRowHeight="14.4"/>
  <cols>
    <col min="1" max="1" width="20.5546875" customWidth="1"/>
    <col min="2" max="2" width="16.21875" customWidth="1"/>
    <col min="3" max="3" width="21.5546875" customWidth="1"/>
    <col min="4" max="4" width="25.44140625" customWidth="1"/>
    <col min="5" max="5" width="24.109375" customWidth="1"/>
    <col min="6" max="6" width="24.21875" customWidth="1"/>
    <col min="7" max="8" width="24.44140625" customWidth="1"/>
    <col min="9" max="9" width="9.21875" customWidth="1"/>
    <col min="12" max="12" width="37.6640625" customWidth="1"/>
    <col min="13" max="13" width="24" customWidth="1"/>
    <col min="14" max="14" width="10.88671875" hidden="1" customWidth="1"/>
    <col min="15" max="15" width="25.33203125" style="91" customWidth="1"/>
    <col min="16" max="16" width="24.21875" style="91" customWidth="1"/>
    <col min="17" max="17" width="26.5546875" style="91" customWidth="1"/>
    <col min="18" max="18" width="30.44140625" customWidth="1"/>
    <col min="19" max="19" width="26.21875" customWidth="1"/>
    <col min="20" max="20" width="45.77734375" customWidth="1"/>
    <col min="21" max="21" width="36.33203125" customWidth="1"/>
  </cols>
  <sheetData>
    <row r="1" spans="1:32" ht="24" thickBot="1">
      <c r="A1" s="6" t="s">
        <v>148</v>
      </c>
      <c r="B1" s="6" t="s">
        <v>2</v>
      </c>
      <c r="C1" s="6" t="s">
        <v>256</v>
      </c>
      <c r="D1" s="6" t="s">
        <v>257</v>
      </c>
      <c r="E1" s="6" t="s">
        <v>258</v>
      </c>
      <c r="F1" s="13" t="s">
        <v>259</v>
      </c>
      <c r="G1" s="6" t="s">
        <v>260</v>
      </c>
      <c r="H1" s="78"/>
      <c r="I1" s="55" t="s">
        <v>272</v>
      </c>
      <c r="J1" s="50"/>
      <c r="L1" s="96" t="s">
        <v>590</v>
      </c>
      <c r="M1" s="178" t="s">
        <v>588</v>
      </c>
      <c r="N1" s="179"/>
      <c r="O1" s="95" t="s">
        <v>589</v>
      </c>
    </row>
    <row r="2" spans="1:32" ht="128.4" thickBot="1">
      <c r="A2" s="145" t="s">
        <v>64</v>
      </c>
      <c r="B2" s="149" t="s">
        <v>65</v>
      </c>
      <c r="C2" s="24" t="s">
        <v>66</v>
      </c>
      <c r="D2" s="27" t="s">
        <v>67</v>
      </c>
      <c r="E2" s="27" t="s">
        <v>68</v>
      </c>
      <c r="F2" s="28" t="s">
        <v>186</v>
      </c>
      <c r="G2" s="24" t="s">
        <v>520</v>
      </c>
      <c r="H2" s="24"/>
      <c r="I2" s="4" t="s">
        <v>273</v>
      </c>
      <c r="J2" s="50"/>
      <c r="K2" s="91"/>
      <c r="L2" s="98">
        <f>O2/S2</f>
        <v>0.625</v>
      </c>
      <c r="M2" s="96" t="s">
        <v>275</v>
      </c>
      <c r="N2" s="97"/>
      <c r="O2" s="88">
        <f>COUNTIF(I2:I37,"Yes")</f>
        <v>20</v>
      </c>
      <c r="P2" s="95" t="s">
        <v>279</v>
      </c>
      <c r="Q2" s="87">
        <f>COUNTA(I2:I200)</f>
        <v>35</v>
      </c>
      <c r="R2" s="95" t="s">
        <v>591</v>
      </c>
      <c r="S2" s="87">
        <f>Q2-O4</f>
        <v>32</v>
      </c>
      <c r="T2" s="92" t="s">
        <v>611</v>
      </c>
      <c r="U2" s="126" t="s">
        <v>613</v>
      </c>
      <c r="V2" s="91"/>
      <c r="W2" s="91"/>
      <c r="X2" s="91"/>
      <c r="Y2" s="91"/>
      <c r="Z2" s="91"/>
      <c r="AA2" s="91"/>
      <c r="AB2" s="91"/>
      <c r="AC2" s="91"/>
      <c r="AD2" s="91"/>
      <c r="AE2" s="91"/>
      <c r="AF2" s="91"/>
    </row>
    <row r="3" spans="1:32" ht="115.95" customHeight="1" thickBot="1">
      <c r="A3" s="145"/>
      <c r="B3" s="149"/>
      <c r="C3" s="24" t="s">
        <v>69</v>
      </c>
      <c r="D3" s="27" t="s">
        <v>70</v>
      </c>
      <c r="E3" s="28" t="s">
        <v>71</v>
      </c>
      <c r="F3" s="28" t="s">
        <v>187</v>
      </c>
      <c r="G3" s="24" t="s">
        <v>519</v>
      </c>
      <c r="H3" s="24"/>
      <c r="I3" s="4" t="s">
        <v>275</v>
      </c>
      <c r="J3" s="50"/>
      <c r="K3" s="91"/>
      <c r="L3" s="91"/>
      <c r="M3" s="96" t="s">
        <v>273</v>
      </c>
      <c r="N3" s="97"/>
      <c r="O3" s="89">
        <f>COUNTIF(I2:I37,"No")</f>
        <v>12</v>
      </c>
      <c r="R3" s="91"/>
      <c r="S3" s="91"/>
      <c r="T3" s="91"/>
      <c r="U3" s="91"/>
      <c r="V3" s="91"/>
      <c r="W3" s="91"/>
      <c r="X3" s="91"/>
      <c r="Y3" s="91"/>
      <c r="Z3" s="91"/>
      <c r="AA3" s="91"/>
      <c r="AB3" s="91"/>
      <c r="AC3" s="91"/>
    </row>
    <row r="4" spans="1:32" ht="87" customHeight="1" thickBot="1">
      <c r="A4" s="145"/>
      <c r="B4" s="149"/>
      <c r="C4" s="24" t="s">
        <v>72</v>
      </c>
      <c r="D4" s="27" t="s">
        <v>73</v>
      </c>
      <c r="E4" s="28" t="s">
        <v>74</v>
      </c>
      <c r="F4" s="28" t="s">
        <v>188</v>
      </c>
      <c r="G4" s="24" t="s">
        <v>495</v>
      </c>
      <c r="H4" s="24"/>
      <c r="I4" s="4" t="s">
        <v>273</v>
      </c>
      <c r="J4" s="50"/>
      <c r="K4" s="91"/>
      <c r="L4" s="91"/>
      <c r="M4" s="58" t="s">
        <v>274</v>
      </c>
      <c r="N4" s="91"/>
      <c r="O4" s="90">
        <f>COUNTIF(I2:I37,"N/A")</f>
        <v>3</v>
      </c>
      <c r="P4" s="93"/>
      <c r="Q4" s="93"/>
      <c r="R4" s="91"/>
      <c r="S4" s="91"/>
      <c r="T4" s="91"/>
      <c r="U4" s="91"/>
      <c r="V4" s="91"/>
      <c r="W4" s="91"/>
      <c r="X4" s="91"/>
      <c r="Y4" s="91"/>
      <c r="Z4" s="91"/>
      <c r="AA4" s="91"/>
      <c r="AB4" s="91"/>
      <c r="AC4" s="91"/>
    </row>
    <row r="5" spans="1:32" ht="126.45" customHeight="1">
      <c r="A5" s="145"/>
      <c r="B5" s="149"/>
      <c r="C5" s="68" t="s">
        <v>75</v>
      </c>
      <c r="D5" s="27" t="s">
        <v>76</v>
      </c>
      <c r="E5" s="28" t="s">
        <v>77</v>
      </c>
      <c r="F5" s="28" t="s">
        <v>189</v>
      </c>
      <c r="G5" s="68" t="s">
        <v>493</v>
      </c>
      <c r="H5" s="68"/>
      <c r="I5" s="77" t="s">
        <v>274</v>
      </c>
      <c r="J5" s="50"/>
      <c r="K5" s="91"/>
      <c r="L5" s="91"/>
      <c r="M5" s="91"/>
      <c r="N5" s="91"/>
      <c r="P5" s="93"/>
      <c r="Q5" s="93"/>
      <c r="R5" s="91"/>
      <c r="S5" s="91"/>
      <c r="T5" s="91"/>
      <c r="U5" s="91"/>
      <c r="V5" s="91"/>
      <c r="W5" s="91"/>
      <c r="X5" s="91"/>
      <c r="Y5" s="91"/>
      <c r="Z5" s="91"/>
      <c r="AA5" s="91"/>
      <c r="AB5" s="91"/>
      <c r="AC5" s="91"/>
    </row>
    <row r="6" spans="1:32" ht="86.4">
      <c r="A6" s="145"/>
      <c r="B6" s="149"/>
      <c r="C6" s="24" t="s">
        <v>78</v>
      </c>
      <c r="D6" s="27" t="s">
        <v>79</v>
      </c>
      <c r="E6" s="28" t="s">
        <v>80</v>
      </c>
      <c r="F6" s="28" t="s">
        <v>190</v>
      </c>
      <c r="G6" s="24" t="s">
        <v>492</v>
      </c>
      <c r="H6" s="24"/>
      <c r="I6" s="4" t="s">
        <v>275</v>
      </c>
      <c r="J6" s="50"/>
      <c r="K6" s="91"/>
      <c r="L6" s="91"/>
      <c r="M6" s="91"/>
      <c r="N6" s="91"/>
      <c r="R6" s="91"/>
      <c r="S6" s="91"/>
      <c r="T6" s="91"/>
      <c r="U6" s="91"/>
      <c r="V6" s="91"/>
      <c r="W6" s="91"/>
      <c r="X6" s="91"/>
      <c r="Y6" s="91"/>
      <c r="Z6" s="91"/>
      <c r="AA6" s="91"/>
      <c r="AB6" s="91"/>
      <c r="AC6" s="91"/>
    </row>
    <row r="7" spans="1:32" ht="86.4">
      <c r="A7" s="145"/>
      <c r="B7" s="149"/>
      <c r="C7" s="24" t="s">
        <v>81</v>
      </c>
      <c r="D7" s="28" t="s">
        <v>82</v>
      </c>
      <c r="E7" s="28" t="s">
        <v>83</v>
      </c>
      <c r="F7" s="28" t="s">
        <v>191</v>
      </c>
      <c r="G7" s="24" t="s">
        <v>494</v>
      </c>
      <c r="H7" s="24"/>
      <c r="I7" s="4" t="s">
        <v>275</v>
      </c>
      <c r="J7" s="50"/>
      <c r="K7" s="91"/>
      <c r="L7" s="91"/>
      <c r="M7" s="91"/>
      <c r="N7" s="91"/>
      <c r="R7" s="91"/>
      <c r="S7" s="91"/>
      <c r="T7" s="91"/>
      <c r="U7" s="91"/>
      <c r="V7" s="91"/>
      <c r="W7" s="91"/>
      <c r="X7" s="91"/>
      <c r="Y7" s="91"/>
      <c r="Z7" s="91"/>
      <c r="AA7" s="91"/>
      <c r="AB7" s="91"/>
      <c r="AC7" s="91"/>
    </row>
    <row r="8" spans="1:32" ht="96.6">
      <c r="A8" s="145"/>
      <c r="B8" s="145" t="s">
        <v>6</v>
      </c>
      <c r="C8" s="145" t="s">
        <v>7</v>
      </c>
      <c r="D8" s="27" t="s">
        <v>8</v>
      </c>
      <c r="E8" s="29" t="s">
        <v>9</v>
      </c>
      <c r="F8" s="30" t="s">
        <v>159</v>
      </c>
      <c r="G8" s="24" t="s">
        <v>496</v>
      </c>
      <c r="H8" s="24"/>
      <c r="I8" s="4" t="s">
        <v>275</v>
      </c>
      <c r="J8" s="50"/>
      <c r="K8" s="91"/>
      <c r="L8" s="91"/>
      <c r="M8" s="91"/>
      <c r="N8" s="91"/>
      <c r="R8" s="91"/>
      <c r="S8" s="91"/>
      <c r="T8" s="91"/>
      <c r="U8" s="91"/>
      <c r="V8" s="91"/>
      <c r="W8" s="91"/>
      <c r="X8" s="91"/>
      <c r="Y8" s="91"/>
      <c r="Z8" s="91"/>
      <c r="AA8" s="91"/>
      <c r="AB8" s="91"/>
      <c r="AC8" s="91"/>
    </row>
    <row r="9" spans="1:32" ht="69">
      <c r="A9" s="145"/>
      <c r="B9" s="145"/>
      <c r="C9" s="145"/>
      <c r="D9" s="31" t="s">
        <v>10</v>
      </c>
      <c r="E9" s="31" t="s">
        <v>11</v>
      </c>
      <c r="F9" s="30" t="s">
        <v>161</v>
      </c>
      <c r="G9" s="24" t="s">
        <v>497</v>
      </c>
      <c r="H9" s="24"/>
      <c r="I9" s="124" t="s">
        <v>273</v>
      </c>
      <c r="J9" s="50"/>
      <c r="K9" s="91"/>
      <c r="L9" s="91"/>
      <c r="M9" s="91"/>
      <c r="N9" s="91"/>
      <c r="R9" s="91"/>
      <c r="S9" s="91"/>
      <c r="T9" s="91"/>
      <c r="U9" s="91"/>
      <c r="V9" s="91"/>
      <c r="W9" s="91"/>
      <c r="X9" s="91"/>
      <c r="Y9" s="91"/>
      <c r="Z9" s="91"/>
      <c r="AA9" s="91"/>
      <c r="AB9" s="91"/>
      <c r="AC9" s="91"/>
    </row>
    <row r="10" spans="1:32" ht="82.8">
      <c r="A10" s="145"/>
      <c r="B10" s="145"/>
      <c r="C10" s="177"/>
      <c r="D10" s="31" t="s">
        <v>13</v>
      </c>
      <c r="E10" s="31" t="s">
        <v>14</v>
      </c>
      <c r="F10" s="30" t="s">
        <v>165</v>
      </c>
      <c r="G10" s="24" t="s">
        <v>498</v>
      </c>
      <c r="H10" s="24"/>
      <c r="I10" s="4" t="s">
        <v>275</v>
      </c>
      <c r="J10" s="50"/>
      <c r="K10" s="91"/>
      <c r="L10" s="91"/>
      <c r="M10" s="91"/>
      <c r="N10" s="91"/>
      <c r="R10" s="91"/>
      <c r="S10" s="91"/>
      <c r="T10" s="91"/>
      <c r="U10" s="91"/>
      <c r="V10" s="91"/>
      <c r="W10" s="91"/>
      <c r="X10" s="91"/>
      <c r="Y10" s="91"/>
      <c r="Z10" s="91"/>
      <c r="AA10" s="91"/>
      <c r="AB10" s="91"/>
      <c r="AC10" s="91"/>
    </row>
    <row r="11" spans="1:32" ht="72">
      <c r="A11" s="145"/>
      <c r="B11" s="145"/>
      <c r="C11" s="177"/>
      <c r="D11" s="31" t="s">
        <v>15</v>
      </c>
      <c r="E11" s="31" t="s">
        <v>16</v>
      </c>
      <c r="F11" s="30" t="s">
        <v>167</v>
      </c>
      <c r="G11" s="24" t="s">
        <v>499</v>
      </c>
      <c r="H11" s="24"/>
      <c r="I11" s="4" t="s">
        <v>275</v>
      </c>
      <c r="J11" s="50"/>
      <c r="K11" s="91"/>
      <c r="L11" s="91"/>
      <c r="M11" s="91"/>
      <c r="N11" s="91"/>
      <c r="R11" s="91"/>
      <c r="S11" s="91"/>
      <c r="T11" s="91"/>
      <c r="U11" s="91"/>
      <c r="V11" s="91"/>
      <c r="W11" s="91"/>
      <c r="X11" s="91"/>
      <c r="Y11" s="91"/>
      <c r="Z11" s="91"/>
      <c r="AA11" s="91"/>
      <c r="AB11" s="91"/>
      <c r="AC11" s="91"/>
    </row>
    <row r="12" spans="1:32" ht="72">
      <c r="A12" s="145"/>
      <c r="B12" s="145"/>
      <c r="C12" s="3"/>
      <c r="D12" s="31" t="s">
        <v>20</v>
      </c>
      <c r="E12" s="31" t="s">
        <v>21</v>
      </c>
      <c r="F12" s="30" t="s">
        <v>172</v>
      </c>
      <c r="G12" s="24" t="s">
        <v>500</v>
      </c>
      <c r="H12" s="24"/>
      <c r="I12" s="4" t="s">
        <v>273</v>
      </c>
      <c r="J12" s="50"/>
      <c r="K12" s="91"/>
      <c r="L12" s="91"/>
      <c r="M12" s="91"/>
      <c r="N12" s="91"/>
      <c r="R12" s="91"/>
      <c r="S12" s="91"/>
      <c r="T12" s="91"/>
      <c r="U12" s="91"/>
      <c r="V12" s="91"/>
      <c r="W12" s="91"/>
      <c r="X12" s="91"/>
      <c r="Y12" s="91"/>
      <c r="Z12" s="91"/>
      <c r="AA12" s="91"/>
      <c r="AB12" s="91"/>
      <c r="AC12" s="91"/>
    </row>
    <row r="13" spans="1:32" ht="69">
      <c r="A13" s="145"/>
      <c r="B13" s="145"/>
      <c r="C13" s="3"/>
      <c r="D13" s="31" t="s">
        <v>22</v>
      </c>
      <c r="E13" s="31" t="s">
        <v>23</v>
      </c>
      <c r="F13" s="30" t="s">
        <v>173</v>
      </c>
      <c r="G13" s="24" t="s">
        <v>501</v>
      </c>
      <c r="H13" s="24"/>
      <c r="I13" s="124" t="s">
        <v>273</v>
      </c>
      <c r="J13" s="50"/>
      <c r="K13" s="91"/>
      <c r="L13" s="91"/>
      <c r="M13" s="91"/>
      <c r="N13" s="91"/>
      <c r="R13" s="91"/>
      <c r="S13" s="91"/>
      <c r="T13" s="91"/>
      <c r="U13" s="91"/>
      <c r="V13" s="91"/>
      <c r="W13" s="91"/>
      <c r="X13" s="91"/>
      <c r="Y13" s="91"/>
      <c r="Z13" s="91"/>
      <c r="AA13" s="91"/>
      <c r="AB13" s="91"/>
      <c r="AC13" s="91"/>
    </row>
    <row r="14" spans="1:32" ht="86.4">
      <c r="A14" s="145"/>
      <c r="B14" s="145"/>
      <c r="C14" s="4" t="s">
        <v>18</v>
      </c>
      <c r="D14" s="31" t="s">
        <v>36</v>
      </c>
      <c r="E14" s="31" t="s">
        <v>37</v>
      </c>
      <c r="F14" s="30" t="s">
        <v>178</v>
      </c>
      <c r="G14" s="24" t="s">
        <v>502</v>
      </c>
      <c r="H14" s="24"/>
      <c r="I14" s="4" t="s">
        <v>273</v>
      </c>
      <c r="J14" s="50"/>
      <c r="K14" s="91"/>
      <c r="L14" s="91"/>
      <c r="M14" s="91"/>
      <c r="N14" s="91"/>
      <c r="R14" s="91"/>
      <c r="S14" s="91"/>
      <c r="T14" s="91"/>
      <c r="U14" s="91"/>
      <c r="V14" s="91"/>
      <c r="W14" s="91"/>
      <c r="X14" s="91"/>
      <c r="Y14" s="91"/>
      <c r="Z14" s="91"/>
      <c r="AA14" s="91"/>
      <c r="AB14" s="91"/>
      <c r="AC14" s="91"/>
    </row>
    <row r="15" spans="1:32" ht="82.8">
      <c r="A15" s="145"/>
      <c r="B15" s="145"/>
      <c r="C15" s="177" t="s">
        <v>19</v>
      </c>
      <c r="D15" s="31" t="s">
        <v>48</v>
      </c>
      <c r="E15" s="31" t="s">
        <v>49</v>
      </c>
      <c r="F15" s="30" t="s">
        <v>181</v>
      </c>
      <c r="G15" s="24" t="s">
        <v>503</v>
      </c>
      <c r="H15" s="24"/>
      <c r="I15" s="4" t="s">
        <v>275</v>
      </c>
      <c r="J15" s="50"/>
      <c r="K15" s="91"/>
      <c r="L15" s="91"/>
      <c r="M15" s="91"/>
      <c r="N15" s="91"/>
      <c r="R15" s="91"/>
      <c r="S15" s="91"/>
      <c r="T15" s="91"/>
      <c r="U15" s="91"/>
      <c r="V15" s="91"/>
      <c r="W15" s="91"/>
      <c r="X15" s="91"/>
      <c r="Y15" s="91"/>
      <c r="Z15" s="91"/>
      <c r="AA15" s="91"/>
      <c r="AB15" s="91"/>
      <c r="AC15" s="91"/>
    </row>
    <row r="16" spans="1:32" ht="72">
      <c r="A16" s="145"/>
      <c r="B16" s="145"/>
      <c r="C16" s="177"/>
      <c r="D16" s="30" t="s">
        <v>52</v>
      </c>
      <c r="E16" s="31" t="s">
        <v>53</v>
      </c>
      <c r="F16" s="30" t="s">
        <v>182</v>
      </c>
      <c r="G16" s="24" t="s">
        <v>504</v>
      </c>
      <c r="H16" s="24"/>
      <c r="I16" s="4" t="s">
        <v>275</v>
      </c>
      <c r="J16" s="50"/>
      <c r="K16" s="91"/>
      <c r="L16" s="91"/>
      <c r="M16" s="91"/>
      <c r="N16" s="91"/>
      <c r="R16" s="91"/>
      <c r="S16" s="91"/>
      <c r="T16" s="91"/>
      <c r="U16" s="91"/>
      <c r="V16" s="91"/>
      <c r="W16" s="91"/>
      <c r="X16" s="91"/>
      <c r="Y16" s="91"/>
      <c r="Z16" s="91"/>
      <c r="AA16" s="91"/>
      <c r="AB16" s="91"/>
      <c r="AC16" s="91"/>
    </row>
    <row r="17" spans="1:29" ht="100.8">
      <c r="A17" s="145"/>
      <c r="B17" s="145"/>
      <c r="C17" s="4" t="s">
        <v>35</v>
      </c>
      <c r="D17" s="30" t="s">
        <v>57</v>
      </c>
      <c r="E17" s="31" t="s">
        <v>58</v>
      </c>
      <c r="F17" s="30" t="s">
        <v>183</v>
      </c>
      <c r="G17" s="24" t="s">
        <v>505</v>
      </c>
      <c r="H17" s="24"/>
      <c r="I17" s="4" t="s">
        <v>275</v>
      </c>
      <c r="J17" s="50"/>
      <c r="K17" s="91"/>
      <c r="L17" s="91"/>
      <c r="M17" s="91"/>
      <c r="N17" s="91"/>
      <c r="R17" s="91"/>
      <c r="S17" s="91"/>
      <c r="T17" s="91"/>
      <c r="U17" s="91"/>
      <c r="V17" s="91"/>
      <c r="W17" s="91"/>
      <c r="X17" s="91"/>
      <c r="Y17" s="91"/>
      <c r="Z17" s="91"/>
      <c r="AA17" s="91"/>
      <c r="AB17" s="91"/>
      <c r="AC17" s="91"/>
    </row>
    <row r="18" spans="1:29" ht="86.4">
      <c r="A18" s="145"/>
      <c r="B18" s="4" t="s">
        <v>24</v>
      </c>
      <c r="C18" s="4" t="s">
        <v>39</v>
      </c>
      <c r="D18" s="30" t="s">
        <v>62</v>
      </c>
      <c r="E18" s="31" t="s">
        <v>63</v>
      </c>
      <c r="F18" s="30" t="s">
        <v>185</v>
      </c>
      <c r="G18" s="24" t="s">
        <v>506</v>
      </c>
      <c r="H18" s="24"/>
      <c r="I18" s="4" t="s">
        <v>274</v>
      </c>
      <c r="J18" s="50"/>
      <c r="K18" s="91"/>
      <c r="L18" s="91"/>
      <c r="M18" s="91"/>
      <c r="N18" s="91"/>
      <c r="R18" s="91"/>
      <c r="S18" s="91"/>
      <c r="T18" s="91"/>
      <c r="U18" s="91"/>
      <c r="V18" s="91"/>
      <c r="W18" s="91"/>
      <c r="X18" s="91"/>
      <c r="Y18" s="91"/>
      <c r="Z18" s="91"/>
      <c r="AA18" s="91"/>
      <c r="AB18" s="91"/>
      <c r="AC18" s="91"/>
    </row>
    <row r="19" spans="1:29" ht="115.2">
      <c r="A19" s="145"/>
      <c r="B19" s="4" t="s">
        <v>38</v>
      </c>
      <c r="C19" s="4" t="s">
        <v>47</v>
      </c>
      <c r="D19" s="31" t="s">
        <v>67</v>
      </c>
      <c r="E19" s="29" t="s">
        <v>68</v>
      </c>
      <c r="F19" s="30" t="s">
        <v>186</v>
      </c>
      <c r="G19" s="24" t="s">
        <v>507</v>
      </c>
      <c r="H19" s="24"/>
      <c r="I19" s="4" t="s">
        <v>274</v>
      </c>
      <c r="J19" s="50"/>
      <c r="K19" s="91"/>
      <c r="L19" s="91"/>
      <c r="M19" s="91"/>
      <c r="N19" s="91"/>
      <c r="R19" s="91"/>
      <c r="S19" s="91"/>
      <c r="T19" s="91"/>
      <c r="U19" s="91"/>
      <c r="V19" s="91"/>
      <c r="W19" s="91"/>
      <c r="X19" s="91"/>
      <c r="Y19" s="91"/>
      <c r="Z19" s="91"/>
      <c r="AA19" s="91"/>
      <c r="AB19" s="91"/>
      <c r="AC19" s="91"/>
    </row>
    <row r="20" spans="1:29" ht="115.2">
      <c r="A20" s="145"/>
      <c r="B20" s="145" t="s">
        <v>46</v>
      </c>
      <c r="C20" s="4" t="s">
        <v>50</v>
      </c>
      <c r="D20" s="31" t="s">
        <v>70</v>
      </c>
      <c r="E20" s="30" t="s">
        <v>71</v>
      </c>
      <c r="F20" s="30" t="s">
        <v>187</v>
      </c>
      <c r="G20" s="24" t="s">
        <v>508</v>
      </c>
      <c r="H20" s="24"/>
      <c r="I20" s="4" t="s">
        <v>275</v>
      </c>
      <c r="J20" s="50"/>
      <c r="K20" s="91"/>
      <c r="L20" s="91"/>
      <c r="M20" s="91"/>
      <c r="N20" s="91"/>
      <c r="R20" s="91"/>
      <c r="S20" s="91"/>
      <c r="T20" s="91"/>
      <c r="U20" s="91"/>
      <c r="V20" s="91"/>
      <c r="W20" s="91"/>
      <c r="X20" s="91"/>
      <c r="Y20" s="91"/>
      <c r="Z20" s="91"/>
      <c r="AA20" s="91"/>
      <c r="AB20" s="91"/>
      <c r="AC20" s="91"/>
    </row>
    <row r="21" spans="1:29" ht="86.4">
      <c r="A21" s="145"/>
      <c r="B21" s="145"/>
      <c r="C21" s="25" t="s">
        <v>51</v>
      </c>
      <c r="D21" s="31" t="s">
        <v>73</v>
      </c>
      <c r="E21" s="30" t="s">
        <v>74</v>
      </c>
      <c r="F21" s="30" t="s">
        <v>188</v>
      </c>
      <c r="G21" s="24" t="s">
        <v>509</v>
      </c>
      <c r="H21" s="24"/>
      <c r="I21" s="4" t="s">
        <v>275</v>
      </c>
      <c r="J21" s="50"/>
      <c r="K21" s="91"/>
      <c r="L21" s="91"/>
      <c r="M21" s="91"/>
      <c r="N21" s="91"/>
      <c r="R21" s="91"/>
      <c r="S21" s="91"/>
      <c r="T21" s="91"/>
      <c r="U21" s="91"/>
      <c r="V21" s="91"/>
      <c r="W21" s="91"/>
      <c r="X21" s="91"/>
      <c r="Y21" s="91"/>
      <c r="Z21" s="91"/>
      <c r="AA21" s="91"/>
      <c r="AB21" s="91"/>
      <c r="AC21" s="91"/>
    </row>
    <row r="22" spans="1:29" ht="100.8">
      <c r="A22" s="145"/>
      <c r="B22" s="145"/>
      <c r="C22" s="25" t="s">
        <v>54</v>
      </c>
      <c r="D22" s="31" t="s">
        <v>76</v>
      </c>
      <c r="E22" s="30" t="s">
        <v>77</v>
      </c>
      <c r="F22" s="30" t="s">
        <v>189</v>
      </c>
      <c r="G22" s="24" t="s">
        <v>76</v>
      </c>
      <c r="H22" s="24"/>
      <c r="I22" s="4" t="s">
        <v>273</v>
      </c>
      <c r="J22" s="50"/>
      <c r="K22" s="91"/>
      <c r="L22" s="91"/>
      <c r="M22" s="91"/>
      <c r="N22" s="91"/>
      <c r="R22" s="91"/>
      <c r="S22" s="91"/>
      <c r="T22" s="91"/>
      <c r="U22" s="91"/>
      <c r="V22" s="91"/>
      <c r="W22" s="91"/>
      <c r="X22" s="91"/>
      <c r="Y22" s="91"/>
      <c r="Z22" s="91"/>
      <c r="AA22" s="91"/>
      <c r="AB22" s="91"/>
      <c r="AC22" s="91"/>
    </row>
    <row r="23" spans="1:29" ht="115.2">
      <c r="A23" s="145"/>
      <c r="B23" s="145"/>
      <c r="C23" s="25" t="s">
        <v>56</v>
      </c>
      <c r="D23" s="31" t="s">
        <v>88</v>
      </c>
      <c r="E23" s="32" t="s">
        <v>131</v>
      </c>
      <c r="F23" s="30" t="s">
        <v>192</v>
      </c>
      <c r="G23" s="24" t="s">
        <v>510</v>
      </c>
      <c r="H23" s="24"/>
      <c r="I23" s="4" t="s">
        <v>273</v>
      </c>
      <c r="J23" s="50"/>
      <c r="K23" s="91"/>
      <c r="L23" s="91"/>
      <c r="M23" s="91"/>
      <c r="N23" s="91"/>
      <c r="R23" s="91"/>
      <c r="S23" s="91"/>
      <c r="T23" s="91"/>
      <c r="U23" s="91"/>
      <c r="V23" s="91"/>
      <c r="W23" s="91"/>
      <c r="X23" s="91"/>
      <c r="Y23" s="91"/>
      <c r="Z23" s="91"/>
      <c r="AA23" s="91"/>
      <c r="AB23" s="91"/>
      <c r="AC23" s="91"/>
    </row>
    <row r="24" spans="1:29" ht="69">
      <c r="A24" s="145"/>
      <c r="B24" s="145"/>
      <c r="C24" s="4" t="s">
        <v>66</v>
      </c>
      <c r="D24" s="31" t="s">
        <v>93</v>
      </c>
      <c r="E24" s="31" t="s">
        <v>94</v>
      </c>
      <c r="F24" s="30" t="s">
        <v>195</v>
      </c>
      <c r="G24" s="24" t="s">
        <v>512</v>
      </c>
      <c r="H24" s="24"/>
      <c r="I24" s="4" t="s">
        <v>273</v>
      </c>
      <c r="J24" s="50"/>
      <c r="K24" s="91"/>
      <c r="L24" s="91"/>
      <c r="M24" s="91"/>
      <c r="N24" s="91"/>
      <c r="R24" s="91"/>
      <c r="S24" s="91"/>
      <c r="T24" s="91"/>
      <c r="U24" s="91"/>
      <c r="V24" s="91"/>
      <c r="W24" s="91"/>
      <c r="X24" s="91"/>
      <c r="Y24" s="91"/>
      <c r="Z24" s="91"/>
      <c r="AA24" s="91"/>
      <c r="AB24" s="91"/>
      <c r="AC24" s="91"/>
    </row>
    <row r="25" spans="1:29" ht="86.4">
      <c r="A25" s="145"/>
      <c r="B25" s="145"/>
      <c r="C25" s="4" t="s">
        <v>69</v>
      </c>
      <c r="D25" s="31" t="s">
        <v>95</v>
      </c>
      <c r="E25" s="31" t="s">
        <v>96</v>
      </c>
      <c r="F25" s="30" t="s">
        <v>196</v>
      </c>
      <c r="G25" s="24" t="s">
        <v>511</v>
      </c>
      <c r="H25" s="24"/>
      <c r="I25" s="4" t="s">
        <v>273</v>
      </c>
      <c r="J25" s="50"/>
      <c r="K25" s="91"/>
      <c r="L25" s="91"/>
      <c r="M25" s="91"/>
      <c r="N25" s="91"/>
      <c r="R25" s="91"/>
      <c r="S25" s="91"/>
      <c r="T25" s="91"/>
      <c r="U25" s="91"/>
      <c r="V25" s="91"/>
      <c r="W25" s="91"/>
      <c r="X25" s="91"/>
      <c r="Y25" s="91"/>
      <c r="Z25" s="91"/>
      <c r="AA25" s="91"/>
      <c r="AB25" s="91"/>
      <c r="AC25" s="91"/>
    </row>
    <row r="26" spans="1:29" ht="86.4">
      <c r="A26" s="145"/>
      <c r="B26" s="145"/>
      <c r="C26" s="4" t="s">
        <v>75</v>
      </c>
      <c r="D26" s="31" t="s">
        <v>99</v>
      </c>
      <c r="E26" s="31" t="s">
        <v>100</v>
      </c>
      <c r="F26" s="30" t="s">
        <v>198</v>
      </c>
      <c r="G26" s="24" t="s">
        <v>513</v>
      </c>
      <c r="H26" s="24"/>
      <c r="I26" s="4" t="s">
        <v>273</v>
      </c>
      <c r="J26" s="50"/>
      <c r="K26" s="91"/>
      <c r="L26" s="91"/>
      <c r="M26" s="91"/>
      <c r="N26" s="91"/>
      <c r="R26" s="91"/>
      <c r="S26" s="91"/>
      <c r="T26" s="91"/>
      <c r="U26" s="91"/>
      <c r="V26" s="91"/>
      <c r="W26" s="91"/>
      <c r="X26" s="91"/>
      <c r="Y26" s="91"/>
      <c r="Z26" s="91"/>
      <c r="AA26" s="91"/>
      <c r="AB26" s="91"/>
      <c r="AC26" s="91"/>
    </row>
    <row r="27" spans="1:29" ht="86.4">
      <c r="A27" s="145"/>
      <c r="B27" s="145"/>
      <c r="C27" s="145" t="s">
        <v>87</v>
      </c>
      <c r="D27" s="31" t="s">
        <v>125</v>
      </c>
      <c r="E27" s="31" t="s">
        <v>126</v>
      </c>
      <c r="F27" s="30" t="s">
        <v>212</v>
      </c>
      <c r="G27" s="24" t="s">
        <v>514</v>
      </c>
      <c r="H27" s="24"/>
      <c r="I27" s="4" t="s">
        <v>275</v>
      </c>
      <c r="J27" s="50"/>
      <c r="K27" s="91"/>
      <c r="L27" s="91"/>
      <c r="M27" s="91"/>
      <c r="N27" s="91"/>
      <c r="R27" s="91"/>
      <c r="S27" s="91"/>
      <c r="T27" s="91"/>
      <c r="U27" s="91"/>
      <c r="V27" s="91"/>
      <c r="W27" s="91"/>
      <c r="X27" s="91"/>
      <c r="Y27" s="91"/>
      <c r="Z27" s="91"/>
      <c r="AA27" s="91"/>
      <c r="AB27" s="91"/>
      <c r="AC27" s="91"/>
    </row>
    <row r="28" spans="1:29" ht="86.4">
      <c r="A28" s="145"/>
      <c r="B28" s="145"/>
      <c r="C28" s="145"/>
      <c r="D28" s="31" t="s">
        <v>127</v>
      </c>
      <c r="E28" s="31" t="s">
        <v>128</v>
      </c>
      <c r="F28" s="30" t="s">
        <v>213</v>
      </c>
      <c r="G28" s="24" t="s">
        <v>515</v>
      </c>
      <c r="H28" s="24"/>
      <c r="I28" s="124" t="s">
        <v>273</v>
      </c>
      <c r="J28" s="50"/>
      <c r="K28" s="91"/>
      <c r="L28" s="91"/>
      <c r="M28" s="91"/>
      <c r="N28" s="91"/>
      <c r="R28" s="91"/>
      <c r="S28" s="91"/>
      <c r="T28" s="91"/>
      <c r="U28" s="91"/>
      <c r="V28" s="91"/>
      <c r="W28" s="91"/>
      <c r="X28" s="91"/>
      <c r="Y28" s="91"/>
      <c r="Z28" s="91"/>
      <c r="AA28" s="91"/>
      <c r="AB28" s="91"/>
      <c r="AC28" s="91"/>
    </row>
    <row r="29" spans="1:29" ht="86.4">
      <c r="A29" s="145"/>
      <c r="B29" s="145" t="s">
        <v>84</v>
      </c>
      <c r="C29" s="145" t="s">
        <v>92</v>
      </c>
      <c r="D29" s="31" t="s">
        <v>129</v>
      </c>
      <c r="E29" s="31" t="s">
        <v>130</v>
      </c>
      <c r="F29" s="30" t="s">
        <v>214</v>
      </c>
      <c r="G29" s="24" t="s">
        <v>516</v>
      </c>
      <c r="H29" s="24"/>
      <c r="I29" s="4" t="s">
        <v>275</v>
      </c>
      <c r="J29" s="50"/>
      <c r="K29" s="91"/>
      <c r="L29" s="91"/>
      <c r="M29" s="91"/>
      <c r="N29" s="91"/>
      <c r="R29" s="91"/>
      <c r="S29" s="91"/>
      <c r="T29" s="91"/>
      <c r="U29" s="91"/>
      <c r="V29" s="91"/>
      <c r="W29" s="91"/>
      <c r="X29" s="91"/>
      <c r="Y29" s="91"/>
      <c r="Z29" s="91"/>
      <c r="AA29" s="91"/>
      <c r="AB29" s="91"/>
      <c r="AC29" s="91"/>
    </row>
    <row r="30" spans="1:29" ht="82.8">
      <c r="A30" s="145"/>
      <c r="B30" s="145"/>
      <c r="C30" s="145"/>
      <c r="D30" s="31" t="s">
        <v>103</v>
      </c>
      <c r="E30" s="31" t="s">
        <v>104</v>
      </c>
      <c r="F30" s="30" t="s">
        <v>199</v>
      </c>
      <c r="G30" s="24" t="s">
        <v>103</v>
      </c>
      <c r="H30" s="24"/>
      <c r="I30" s="4" t="s">
        <v>275</v>
      </c>
      <c r="J30" s="50"/>
      <c r="K30" s="91"/>
      <c r="L30" s="91"/>
      <c r="R30" s="91"/>
      <c r="S30" s="91"/>
      <c r="T30" s="91"/>
      <c r="U30" s="91"/>
      <c r="V30" s="91"/>
      <c r="W30" s="91"/>
      <c r="X30" s="91"/>
      <c r="Y30" s="91"/>
      <c r="Z30" s="91"/>
      <c r="AA30" s="91"/>
      <c r="AB30" s="91"/>
      <c r="AC30" s="91"/>
    </row>
    <row r="31" spans="1:29" ht="69">
      <c r="A31" s="145"/>
      <c r="B31" s="145"/>
      <c r="C31" s="4"/>
      <c r="D31" s="31" t="s">
        <v>114</v>
      </c>
      <c r="E31" s="31" t="s">
        <v>115</v>
      </c>
      <c r="F31" s="30" t="s">
        <v>207</v>
      </c>
      <c r="G31" s="149" t="s">
        <v>517</v>
      </c>
      <c r="H31" s="24"/>
      <c r="I31" s="4" t="s">
        <v>275</v>
      </c>
      <c r="J31" s="50"/>
      <c r="K31" s="91"/>
      <c r="L31" s="91"/>
      <c r="R31" s="91"/>
      <c r="S31" s="91"/>
      <c r="T31" s="91"/>
      <c r="U31" s="91"/>
      <c r="V31" s="91"/>
      <c r="W31" s="91"/>
      <c r="X31" s="91"/>
      <c r="Y31" s="91"/>
      <c r="Z31" s="91"/>
      <c r="AA31" s="91"/>
      <c r="AB31" s="91"/>
      <c r="AC31" s="91"/>
    </row>
    <row r="32" spans="1:29" ht="69">
      <c r="A32" s="145"/>
      <c r="B32" s="145" t="s">
        <v>86</v>
      </c>
      <c r="C32" s="4" t="s">
        <v>97</v>
      </c>
      <c r="D32" s="31" t="s">
        <v>116</v>
      </c>
      <c r="E32" s="31" t="s">
        <v>117</v>
      </c>
      <c r="F32" s="30" t="s">
        <v>208</v>
      </c>
      <c r="G32" s="149"/>
      <c r="H32" s="24"/>
      <c r="I32" s="4" t="s">
        <v>275</v>
      </c>
      <c r="J32" s="50"/>
    </row>
    <row r="33" spans="1:10" ht="55.2">
      <c r="A33" s="145"/>
      <c r="B33" s="145"/>
      <c r="C33" s="4" t="s">
        <v>98</v>
      </c>
      <c r="D33" s="31" t="s">
        <v>118</v>
      </c>
      <c r="E33" s="31" t="s">
        <v>119</v>
      </c>
      <c r="F33" s="30" t="s">
        <v>209</v>
      </c>
      <c r="G33" s="149"/>
      <c r="H33" s="24"/>
      <c r="I33" s="4" t="s">
        <v>275</v>
      </c>
      <c r="J33" s="50"/>
    </row>
    <row r="34" spans="1:10" ht="69">
      <c r="A34" s="145"/>
      <c r="B34" s="145" t="s">
        <v>91</v>
      </c>
      <c r="C34" s="86"/>
      <c r="D34" s="31" t="s">
        <v>120</v>
      </c>
      <c r="E34" s="31" t="s">
        <v>121</v>
      </c>
      <c r="F34" s="30" t="s">
        <v>210</v>
      </c>
      <c r="G34" s="24" t="s">
        <v>120</v>
      </c>
      <c r="H34" s="24"/>
      <c r="I34" s="4" t="s">
        <v>275</v>
      </c>
      <c r="J34" s="50"/>
    </row>
    <row r="35" spans="1:10" ht="69">
      <c r="A35" s="145"/>
      <c r="B35" s="145"/>
      <c r="C35" s="145" t="s">
        <v>124</v>
      </c>
      <c r="D35" s="31" t="s">
        <v>122</v>
      </c>
      <c r="E35" s="31" t="s">
        <v>123</v>
      </c>
      <c r="F35" s="30" t="s">
        <v>211</v>
      </c>
      <c r="G35" s="24" t="s">
        <v>122</v>
      </c>
      <c r="H35" s="24"/>
      <c r="I35" s="4" t="s">
        <v>275</v>
      </c>
      <c r="J35" s="50"/>
    </row>
    <row r="36" spans="1:10" ht="232.05" customHeight="1">
      <c r="A36" s="145"/>
      <c r="B36" s="145"/>
      <c r="C36" s="145"/>
      <c r="D36" s="180" t="s">
        <v>247</v>
      </c>
      <c r="E36" s="145" t="s">
        <v>255</v>
      </c>
      <c r="F36" s="145" t="s">
        <v>261</v>
      </c>
      <c r="G36" s="145" t="s">
        <v>518</v>
      </c>
      <c r="H36" s="145"/>
      <c r="I36" s="145" t="s">
        <v>275</v>
      </c>
    </row>
    <row r="37" spans="1:10">
      <c r="A37" s="145"/>
      <c r="B37" s="145"/>
      <c r="C37" s="145"/>
      <c r="D37" s="180"/>
      <c r="E37" s="145"/>
      <c r="F37" s="145"/>
      <c r="G37" s="145"/>
      <c r="H37" s="145"/>
      <c r="I37" s="145"/>
      <c r="J37" s="50"/>
    </row>
    <row r="38" spans="1:10">
      <c r="J38" s="50"/>
    </row>
  </sheetData>
  <mergeCells count="24">
    <mergeCell ref="G31:G33"/>
    <mergeCell ref="B32:B33"/>
    <mergeCell ref="M1:N1"/>
    <mergeCell ref="B34:B37"/>
    <mergeCell ref="C35:C37"/>
    <mergeCell ref="I36:I37"/>
    <mergeCell ref="D36:D37"/>
    <mergeCell ref="E36:E37"/>
    <mergeCell ref="F36:F37"/>
    <mergeCell ref="G36:G37"/>
    <mergeCell ref="H36:H37"/>
    <mergeCell ref="A2:A37"/>
    <mergeCell ref="B2:B5"/>
    <mergeCell ref="B6:B7"/>
    <mergeCell ref="B8:B17"/>
    <mergeCell ref="C8:C9"/>
    <mergeCell ref="C10:C11"/>
    <mergeCell ref="C15:C16"/>
    <mergeCell ref="B20:B23"/>
    <mergeCell ref="B24:B25"/>
    <mergeCell ref="B26:B28"/>
    <mergeCell ref="C27:C28"/>
    <mergeCell ref="B29:B31"/>
    <mergeCell ref="C29:C30"/>
  </mergeCells>
  <conditionalFormatting sqref="A1:D1">
    <cfRule type="expression" dxfId="35" priority="7">
      <formula>$A1="header"</formula>
    </cfRule>
  </conditionalFormatting>
  <conditionalFormatting sqref="A1:I1">
    <cfRule type="expression" dxfId="34" priority="5">
      <formula>$A1="header"</formula>
    </cfRule>
    <cfRule type="expression" dxfId="33" priority="6">
      <formula>$A1="blank"</formula>
    </cfRule>
  </conditionalFormatting>
  <conditionalFormatting sqref="I2:I36">
    <cfRule type="cellIs" dxfId="32" priority="1" operator="equal">
      <formula>"N/A"</formula>
    </cfRule>
    <cfRule type="cellIs" dxfId="31" priority="2" operator="equal">
      <formula>"N/A"</formula>
    </cfRule>
    <cfRule type="cellIs" dxfId="30" priority="3" operator="equal">
      <formula>"No"</formula>
    </cfRule>
    <cfRule type="cellIs" dxfId="29" priority="4" operator="equal">
      <formula>"Yes"</formula>
    </cfRule>
  </conditionalFormatting>
  <dataValidations count="2">
    <dataValidation type="list" allowBlank="1" showInputMessage="1" showErrorMessage="1" sqref="I2:I36">
      <formula1>"Yes,No,N/A"</formula1>
    </dataValidation>
    <dataValidation type="list" allowBlank="1" showInputMessage="1" showErrorMessage="1" sqref="U2">
      <formula1>"Oumayma,Dhia"</formula1>
    </dataValidation>
  </dataValidations>
  <pageMargins left="0.7" right="0.7" top="0.75" bottom="0.75" header="0.3" footer="0.3"/>
  <pageSetup paperSize="9" orientation="portrait" horizontalDpi="0" verticalDpi="0" copies="2" r:id="rId1"/>
</worksheet>
</file>

<file path=xl/worksheets/sheet5.xml><?xml version="1.0" encoding="utf-8"?>
<worksheet xmlns="http://schemas.openxmlformats.org/spreadsheetml/2006/main" xmlns:r="http://schemas.openxmlformats.org/officeDocument/2006/relationships">
  <sheetPr>
    <tabColor theme="9" tint="-0.249977111117893"/>
  </sheetPr>
  <dimension ref="A1:R26"/>
  <sheetViews>
    <sheetView topLeftCell="H1" zoomScale="64" zoomScaleNormal="95" workbookViewId="0">
      <selection activeCell="M7" sqref="M7"/>
    </sheetView>
  </sheetViews>
  <sheetFormatPr baseColWidth="10" defaultRowHeight="14.4"/>
  <cols>
    <col min="2" max="2" width="31.6640625" customWidth="1"/>
    <col min="3" max="3" width="22.21875" customWidth="1"/>
    <col min="4" max="4" width="23.21875" customWidth="1"/>
    <col min="5" max="5" width="27" customWidth="1"/>
    <col min="6" max="6" width="32.21875" customWidth="1"/>
    <col min="7" max="7" width="31.44140625" customWidth="1"/>
    <col min="8" max="9" width="50.33203125" customWidth="1"/>
    <col min="11" max="11" width="7.44140625" customWidth="1"/>
    <col min="12" max="12" width="21.33203125" customWidth="1"/>
    <col min="13" max="13" width="31.6640625" customWidth="1"/>
    <col min="14" max="14" width="30.21875" customWidth="1"/>
    <col min="15" max="15" width="25.77734375" customWidth="1"/>
    <col min="16" max="16" width="22.44140625" customWidth="1"/>
    <col min="17" max="17" width="19.109375" customWidth="1"/>
    <col min="18" max="18" width="38.5546875" customWidth="1"/>
  </cols>
  <sheetData>
    <row r="1" spans="1:18" ht="15" thickBot="1">
      <c r="J1" s="50"/>
      <c r="K1" s="50"/>
      <c r="L1" s="50"/>
      <c r="M1" s="50"/>
      <c r="N1" s="50"/>
      <c r="O1" s="50"/>
      <c r="P1" s="50"/>
      <c r="Q1" s="50"/>
      <c r="R1" s="50"/>
    </row>
    <row r="2" spans="1:18" ht="40.950000000000003" customHeight="1" thickBot="1">
      <c r="A2" s="50"/>
      <c r="B2" s="50"/>
      <c r="C2" s="50"/>
      <c r="D2" s="50"/>
      <c r="E2" s="50"/>
      <c r="F2" s="50"/>
      <c r="G2" s="50"/>
      <c r="H2" s="50"/>
      <c r="I2" s="50"/>
      <c r="K2" s="50"/>
      <c r="L2" s="163" t="s">
        <v>279</v>
      </c>
      <c r="M2" s="164"/>
      <c r="N2" s="117" t="s">
        <v>600</v>
      </c>
      <c r="O2" s="58" t="s">
        <v>275</v>
      </c>
      <c r="P2" s="58" t="s">
        <v>273</v>
      </c>
      <c r="Q2" s="58" t="s">
        <v>274</v>
      </c>
      <c r="R2" s="58" t="s">
        <v>521</v>
      </c>
    </row>
    <row r="3" spans="1:18" ht="14.55" customHeight="1">
      <c r="A3" s="50"/>
      <c r="B3" s="6" t="s">
        <v>148</v>
      </c>
      <c r="C3" s="6" t="s">
        <v>2</v>
      </c>
      <c r="D3" s="6" t="s">
        <v>256</v>
      </c>
      <c r="E3" s="6" t="s">
        <v>257</v>
      </c>
      <c r="F3" s="6" t="s">
        <v>258</v>
      </c>
      <c r="G3" s="13" t="s">
        <v>259</v>
      </c>
      <c r="H3" s="6" t="s">
        <v>260</v>
      </c>
      <c r="I3" s="6"/>
      <c r="J3" s="6" t="s">
        <v>272</v>
      </c>
      <c r="K3" s="50"/>
      <c r="L3" s="153">
        <f>COUNTA(H4:H25)</f>
        <v>21</v>
      </c>
      <c r="M3" s="165"/>
      <c r="N3" s="181">
        <f>L3-Q3</f>
        <v>20</v>
      </c>
      <c r="O3" s="168">
        <f>COUNTIF(J4:J21,"Yes")</f>
        <v>16</v>
      </c>
      <c r="P3" s="171">
        <f>COUNTIF(J4:J21,"No")</f>
        <v>0</v>
      </c>
      <c r="Q3" s="174">
        <f>COUNTIF(J4:J21,"N/A")</f>
        <v>1</v>
      </c>
      <c r="R3" s="156">
        <f>O3/N3</f>
        <v>0.8</v>
      </c>
    </row>
    <row r="4" spans="1:18" ht="94.5" customHeight="1">
      <c r="A4" s="50"/>
      <c r="B4" s="146" t="s">
        <v>85</v>
      </c>
      <c r="C4" s="140" t="s">
        <v>86</v>
      </c>
      <c r="D4" s="145" t="s">
        <v>87</v>
      </c>
      <c r="E4" s="184" t="s">
        <v>278</v>
      </c>
      <c r="F4" s="12" t="s">
        <v>89</v>
      </c>
      <c r="G4" s="10" t="s">
        <v>193</v>
      </c>
      <c r="H4" s="149" t="s">
        <v>321</v>
      </c>
      <c r="I4" s="24" t="s">
        <v>567</v>
      </c>
      <c r="J4" s="145" t="s">
        <v>274</v>
      </c>
      <c r="K4" s="50"/>
      <c r="L4" s="154"/>
      <c r="M4" s="166"/>
      <c r="N4" s="182"/>
      <c r="O4" s="169"/>
      <c r="P4" s="172"/>
      <c r="Q4" s="175"/>
      <c r="R4" s="157"/>
    </row>
    <row r="5" spans="1:18" ht="81" customHeight="1" thickBot="1">
      <c r="A5" s="50"/>
      <c r="B5" s="147"/>
      <c r="C5" s="141"/>
      <c r="D5" s="145"/>
      <c r="E5" s="184"/>
      <c r="F5" s="12" t="s">
        <v>90</v>
      </c>
      <c r="G5" s="10" t="s">
        <v>194</v>
      </c>
      <c r="H5" s="149"/>
      <c r="I5" s="24" t="s">
        <v>568</v>
      </c>
      <c r="J5" s="145"/>
      <c r="K5" s="50"/>
      <c r="L5" s="155"/>
      <c r="M5" s="167"/>
      <c r="N5" s="183"/>
      <c r="O5" s="170"/>
      <c r="P5" s="173"/>
      <c r="Q5" s="176"/>
      <c r="R5" s="158"/>
    </row>
    <row r="6" spans="1:18" ht="111" customHeight="1" thickBot="1">
      <c r="A6" s="50"/>
      <c r="B6" s="147"/>
      <c r="C6" s="142"/>
      <c r="D6" s="2" t="s">
        <v>384</v>
      </c>
      <c r="E6" s="9" t="s">
        <v>385</v>
      </c>
      <c r="F6" s="12" t="s">
        <v>386</v>
      </c>
      <c r="G6" s="10" t="s">
        <v>387</v>
      </c>
      <c r="H6" s="24" t="s">
        <v>325</v>
      </c>
      <c r="I6" s="24" t="s">
        <v>569</v>
      </c>
      <c r="J6" s="4" t="s">
        <v>275</v>
      </c>
      <c r="K6" s="50"/>
      <c r="L6" s="67"/>
      <c r="N6" s="67"/>
      <c r="O6" s="67"/>
      <c r="P6" s="67"/>
      <c r="Q6" s="67"/>
      <c r="R6" s="50"/>
    </row>
    <row r="7" spans="1:18" ht="61.95" customHeight="1" thickBot="1">
      <c r="A7" s="50"/>
      <c r="B7" s="147"/>
      <c r="C7" s="145" t="s">
        <v>91</v>
      </c>
      <c r="D7" s="145" t="s">
        <v>216</v>
      </c>
      <c r="E7" s="184" t="s">
        <v>546</v>
      </c>
      <c r="F7" s="185" t="s">
        <v>547</v>
      </c>
      <c r="G7" s="186" t="s">
        <v>197</v>
      </c>
      <c r="H7" s="24" t="s">
        <v>319</v>
      </c>
      <c r="I7" s="24" t="s">
        <v>570</v>
      </c>
      <c r="J7" s="4" t="s">
        <v>275</v>
      </c>
      <c r="K7" s="50"/>
      <c r="L7" s="92" t="s">
        <v>611</v>
      </c>
      <c r="M7" s="126" t="s">
        <v>612</v>
      </c>
      <c r="N7" s="50"/>
      <c r="O7" s="114"/>
    </row>
    <row r="8" spans="1:18" ht="53.55" customHeight="1">
      <c r="A8" s="50"/>
      <c r="B8" s="147"/>
      <c r="C8" s="145"/>
      <c r="D8" s="145"/>
      <c r="E8" s="184"/>
      <c r="F8" s="185"/>
      <c r="G8" s="186"/>
      <c r="H8" s="24" t="s">
        <v>320</v>
      </c>
      <c r="I8" s="24" t="s">
        <v>570</v>
      </c>
      <c r="J8" s="4" t="s">
        <v>275</v>
      </c>
      <c r="K8" s="50"/>
      <c r="L8" s="50"/>
      <c r="M8" s="50"/>
      <c r="N8" s="50"/>
      <c r="O8" s="115"/>
    </row>
    <row r="9" spans="1:18" ht="57.6">
      <c r="A9" s="50"/>
      <c r="B9" s="147"/>
      <c r="C9" s="4" t="s">
        <v>306</v>
      </c>
      <c r="D9" s="3" t="s">
        <v>377</v>
      </c>
      <c r="E9" s="42" t="s">
        <v>388</v>
      </c>
      <c r="F9" s="2" t="s">
        <v>389</v>
      </c>
      <c r="G9" s="2" t="s">
        <v>390</v>
      </c>
      <c r="H9" s="2" t="s">
        <v>309</v>
      </c>
      <c r="I9" s="2" t="s">
        <v>571</v>
      </c>
      <c r="J9" s="4" t="s">
        <v>275</v>
      </c>
      <c r="K9" s="50"/>
      <c r="L9" s="50"/>
      <c r="M9" s="50"/>
      <c r="N9" s="50"/>
      <c r="O9" s="50"/>
    </row>
    <row r="10" spans="1:18" ht="58.05" customHeight="1">
      <c r="A10" s="50"/>
      <c r="B10" s="147"/>
      <c r="C10" s="177" t="s">
        <v>307</v>
      </c>
      <c r="D10" s="140" t="s">
        <v>439</v>
      </c>
      <c r="E10" s="2" t="s">
        <v>391</v>
      </c>
      <c r="F10" s="2" t="s">
        <v>393</v>
      </c>
      <c r="G10" s="2" t="s">
        <v>395</v>
      </c>
      <c r="H10" s="2" t="s">
        <v>311</v>
      </c>
      <c r="I10" s="2" t="s">
        <v>572</v>
      </c>
      <c r="J10" s="4" t="s">
        <v>275</v>
      </c>
      <c r="K10" s="50"/>
      <c r="L10" s="50"/>
      <c r="M10" s="50"/>
      <c r="N10" s="50"/>
      <c r="O10" s="50"/>
    </row>
    <row r="11" spans="1:18" ht="43.2">
      <c r="A11" s="50"/>
      <c r="B11" s="147"/>
      <c r="C11" s="177"/>
      <c r="D11" s="142"/>
      <c r="E11" s="2" t="s">
        <v>392</v>
      </c>
      <c r="F11" s="2" t="s">
        <v>394</v>
      </c>
      <c r="G11" s="2" t="s">
        <v>396</v>
      </c>
      <c r="H11" s="2" t="s">
        <v>310</v>
      </c>
      <c r="I11" s="2" t="s">
        <v>573</v>
      </c>
      <c r="J11" s="4" t="s">
        <v>275</v>
      </c>
      <c r="K11" s="50"/>
      <c r="L11" s="50"/>
      <c r="M11" s="50"/>
      <c r="N11" s="50"/>
      <c r="O11" s="50"/>
    </row>
    <row r="12" spans="1:18" ht="52.05" customHeight="1">
      <c r="A12" s="50"/>
      <c r="B12" s="147"/>
      <c r="C12" s="146" t="s">
        <v>308</v>
      </c>
      <c r="D12" s="177" t="s">
        <v>440</v>
      </c>
      <c r="E12" s="2" t="s">
        <v>397</v>
      </c>
      <c r="F12" s="2" t="s">
        <v>398</v>
      </c>
      <c r="G12" s="2" t="s">
        <v>399</v>
      </c>
      <c r="H12" s="2" t="s">
        <v>312</v>
      </c>
      <c r="I12" s="2" t="s">
        <v>574</v>
      </c>
      <c r="J12" s="4" t="s">
        <v>275</v>
      </c>
      <c r="L12" s="50"/>
      <c r="M12" s="50"/>
      <c r="N12" s="50"/>
      <c r="O12" s="50"/>
    </row>
    <row r="13" spans="1:18" ht="58.5" customHeight="1">
      <c r="A13" s="50"/>
      <c r="B13" s="147"/>
      <c r="C13" s="147"/>
      <c r="D13" s="177"/>
      <c r="E13" s="2" t="s">
        <v>401</v>
      </c>
      <c r="F13" s="2" t="s">
        <v>402</v>
      </c>
      <c r="G13" s="2" t="s">
        <v>405</v>
      </c>
      <c r="H13" s="2" t="s">
        <v>334</v>
      </c>
      <c r="I13" s="2" t="s">
        <v>575</v>
      </c>
      <c r="J13" s="4" t="s">
        <v>275</v>
      </c>
      <c r="L13" s="50"/>
      <c r="M13" s="50"/>
      <c r="N13" s="50"/>
      <c r="O13" s="50"/>
    </row>
    <row r="14" spans="1:18" ht="53.55" customHeight="1">
      <c r="A14" s="50"/>
      <c r="B14" s="147"/>
      <c r="C14" s="148"/>
      <c r="D14" s="3" t="s">
        <v>441</v>
      </c>
      <c r="E14" s="2" t="s">
        <v>400</v>
      </c>
      <c r="F14" s="2" t="s">
        <v>403</v>
      </c>
      <c r="G14" s="2" t="s">
        <v>404</v>
      </c>
      <c r="H14" s="2" t="s">
        <v>335</v>
      </c>
      <c r="I14" s="2" t="s">
        <v>576</v>
      </c>
      <c r="J14" s="4" t="s">
        <v>275</v>
      </c>
    </row>
    <row r="15" spans="1:18" ht="66" customHeight="1">
      <c r="B15" s="147"/>
      <c r="C15" s="145" t="s">
        <v>315</v>
      </c>
      <c r="D15" s="146" t="s">
        <v>442</v>
      </c>
      <c r="E15" s="24" t="s">
        <v>406</v>
      </c>
      <c r="F15" s="24" t="s">
        <v>408</v>
      </c>
      <c r="G15" s="24" t="s">
        <v>410</v>
      </c>
      <c r="H15" s="2" t="s">
        <v>313</v>
      </c>
      <c r="I15" s="2" t="s">
        <v>577</v>
      </c>
      <c r="J15" s="4" t="s">
        <v>275</v>
      </c>
    </row>
    <row r="16" spans="1:18" ht="43.2">
      <c r="B16" s="147"/>
      <c r="C16" s="145"/>
      <c r="D16" s="148"/>
      <c r="E16" s="24" t="s">
        <v>407</v>
      </c>
      <c r="F16" s="24" t="s">
        <v>409</v>
      </c>
      <c r="G16" s="24" t="s">
        <v>411</v>
      </c>
      <c r="H16" s="2" t="s">
        <v>314</v>
      </c>
      <c r="I16" s="2" t="s">
        <v>578</v>
      </c>
      <c r="J16" s="4" t="s">
        <v>275</v>
      </c>
    </row>
    <row r="17" spans="2:10" ht="77.55" customHeight="1">
      <c r="B17" s="147"/>
      <c r="C17" s="140" t="s">
        <v>316</v>
      </c>
      <c r="D17" s="146" t="s">
        <v>443</v>
      </c>
      <c r="E17" s="74" t="s">
        <v>412</v>
      </c>
      <c r="F17" s="24" t="s">
        <v>414</v>
      </c>
      <c r="G17" s="75" t="s">
        <v>416</v>
      </c>
      <c r="H17" s="2" t="s">
        <v>317</v>
      </c>
      <c r="I17" s="2" t="s">
        <v>579</v>
      </c>
      <c r="J17" s="4" t="s">
        <v>275</v>
      </c>
    </row>
    <row r="18" spans="2:10" ht="57.6">
      <c r="B18" s="147"/>
      <c r="C18" s="142"/>
      <c r="D18" s="148"/>
      <c r="E18" s="72" t="s">
        <v>413</v>
      </c>
      <c r="F18" s="24" t="s">
        <v>415</v>
      </c>
      <c r="G18" s="72" t="s">
        <v>417</v>
      </c>
      <c r="H18" s="42" t="s">
        <v>318</v>
      </c>
      <c r="I18" s="42" t="s">
        <v>580</v>
      </c>
      <c r="J18" s="4" t="s">
        <v>275</v>
      </c>
    </row>
    <row r="19" spans="2:10" ht="42" customHeight="1">
      <c r="B19" s="147"/>
      <c r="C19" s="177" t="s">
        <v>323</v>
      </c>
      <c r="D19" s="3" t="s">
        <v>444</v>
      </c>
      <c r="E19" s="42" t="s">
        <v>418</v>
      </c>
      <c r="F19" s="2" t="s">
        <v>419</v>
      </c>
      <c r="G19" s="2" t="s">
        <v>420</v>
      </c>
      <c r="H19" s="71" t="s">
        <v>322</v>
      </c>
      <c r="I19" s="71" t="s">
        <v>581</v>
      </c>
      <c r="J19" s="4" t="s">
        <v>275</v>
      </c>
    </row>
    <row r="20" spans="2:10" ht="39" customHeight="1">
      <c r="B20" s="147"/>
      <c r="C20" s="177"/>
      <c r="D20" s="3" t="s">
        <v>445</v>
      </c>
      <c r="E20" s="42" t="s">
        <v>421</v>
      </c>
      <c r="F20" s="71" t="s">
        <v>422</v>
      </c>
      <c r="G20" s="2" t="s">
        <v>423</v>
      </c>
      <c r="H20" s="2" t="s">
        <v>324</v>
      </c>
      <c r="I20" s="2" t="s">
        <v>582</v>
      </c>
      <c r="J20" s="4" t="s">
        <v>275</v>
      </c>
    </row>
    <row r="21" spans="2:10" ht="43.2">
      <c r="B21" s="147"/>
      <c r="C21" s="145" t="s">
        <v>326</v>
      </c>
      <c r="D21" s="146" t="s">
        <v>446</v>
      </c>
      <c r="E21" s="65" t="s">
        <v>424</v>
      </c>
      <c r="F21" s="73" t="s">
        <v>425</v>
      </c>
      <c r="G21" s="73" t="s">
        <v>426</v>
      </c>
      <c r="H21" s="2" t="s">
        <v>327</v>
      </c>
      <c r="I21" s="2" t="s">
        <v>583</v>
      </c>
      <c r="J21" s="4" t="s">
        <v>275</v>
      </c>
    </row>
    <row r="22" spans="2:10" ht="41.55" customHeight="1">
      <c r="B22" s="147"/>
      <c r="C22" s="145"/>
      <c r="D22" s="148"/>
      <c r="E22" s="24" t="s">
        <v>427</v>
      </c>
      <c r="F22" s="24" t="s">
        <v>428</v>
      </c>
      <c r="G22" s="24" t="s">
        <v>429</v>
      </c>
      <c r="H22" s="2" t="s">
        <v>328</v>
      </c>
      <c r="I22" s="2" t="s">
        <v>584</v>
      </c>
      <c r="J22" s="4" t="s">
        <v>275</v>
      </c>
    </row>
    <row r="23" spans="2:10" ht="57.6">
      <c r="B23" s="147"/>
      <c r="C23" s="4" t="s">
        <v>330</v>
      </c>
      <c r="D23" s="3" t="s">
        <v>449</v>
      </c>
      <c r="E23" s="24" t="s">
        <v>430</v>
      </c>
      <c r="F23" s="24" t="s">
        <v>431</v>
      </c>
      <c r="G23" s="24" t="s">
        <v>432</v>
      </c>
      <c r="H23" s="2" t="s">
        <v>329</v>
      </c>
      <c r="I23" s="2" t="s">
        <v>585</v>
      </c>
      <c r="J23" s="4" t="s">
        <v>275</v>
      </c>
    </row>
    <row r="24" spans="2:10" ht="43.2">
      <c r="B24" s="147"/>
      <c r="C24" s="177" t="s">
        <v>333</v>
      </c>
      <c r="D24" s="3" t="s">
        <v>448</v>
      </c>
      <c r="E24" s="2" t="s">
        <v>433</v>
      </c>
      <c r="F24" s="2" t="s">
        <v>435</v>
      </c>
      <c r="G24" s="2" t="s">
        <v>438</v>
      </c>
      <c r="H24" s="2" t="s">
        <v>331</v>
      </c>
      <c r="I24" s="85" t="s">
        <v>586</v>
      </c>
      <c r="J24" s="61" t="s">
        <v>275</v>
      </c>
    </row>
    <row r="25" spans="2:10" ht="43.2">
      <c r="B25" s="148"/>
      <c r="C25" s="177"/>
      <c r="D25" s="3" t="s">
        <v>447</v>
      </c>
      <c r="E25" s="2" t="s">
        <v>434</v>
      </c>
      <c r="F25" s="2" t="s">
        <v>436</v>
      </c>
      <c r="G25" s="2" t="s">
        <v>437</v>
      </c>
      <c r="H25" s="76" t="s">
        <v>332</v>
      </c>
      <c r="I25" s="76" t="s">
        <v>587</v>
      </c>
      <c r="J25" s="4" t="s">
        <v>275</v>
      </c>
    </row>
    <row r="26" spans="2:10">
      <c r="J26" s="66"/>
    </row>
  </sheetData>
  <mergeCells count="30">
    <mergeCell ref="B4:B25"/>
    <mergeCell ref="D10:D11"/>
    <mergeCell ref="D12:D13"/>
    <mergeCell ref="D15:D16"/>
    <mergeCell ref="D17:D18"/>
    <mergeCell ref="D21:D22"/>
    <mergeCell ref="D4:D5"/>
    <mergeCell ref="C10:C11"/>
    <mergeCell ref="C15:C16"/>
    <mergeCell ref="C12:C14"/>
    <mergeCell ref="C21:C22"/>
    <mergeCell ref="C24:C25"/>
    <mergeCell ref="C4:C6"/>
    <mergeCell ref="C17:C18"/>
    <mergeCell ref="C19:C20"/>
    <mergeCell ref="C7:C8"/>
    <mergeCell ref="J4:J5"/>
    <mergeCell ref="L3:M5"/>
    <mergeCell ref="E4:E5"/>
    <mergeCell ref="H4:H5"/>
    <mergeCell ref="D7:D8"/>
    <mergeCell ref="E7:E8"/>
    <mergeCell ref="F7:F8"/>
    <mergeCell ref="G7:G8"/>
    <mergeCell ref="R3:R5"/>
    <mergeCell ref="N3:N5"/>
    <mergeCell ref="L2:M2"/>
    <mergeCell ref="O3:O5"/>
    <mergeCell ref="P3:P5"/>
    <mergeCell ref="Q3:Q5"/>
  </mergeCells>
  <conditionalFormatting sqref="B3:E3">
    <cfRule type="expression" dxfId="28" priority="11">
      <formula>$A3="header"</formula>
    </cfRule>
  </conditionalFormatting>
  <conditionalFormatting sqref="B3:J3">
    <cfRule type="expression" dxfId="27" priority="5">
      <formula>$A3="header"</formula>
    </cfRule>
    <cfRule type="expression" dxfId="26" priority="6">
      <formula>$A3="blank"</formula>
    </cfRule>
  </conditionalFormatting>
  <conditionalFormatting sqref="J4 J6:J26">
    <cfRule type="cellIs" dxfId="25" priority="1" operator="equal">
      <formula>"N/A"</formula>
    </cfRule>
    <cfRule type="cellIs" dxfId="24" priority="2" operator="equal">
      <formula>"N/A"</formula>
    </cfRule>
    <cfRule type="cellIs" dxfId="23" priority="3" operator="equal">
      <formula>"No"</formula>
    </cfRule>
    <cfRule type="cellIs" dxfId="22" priority="4" operator="equal">
      <formula>"Yes"</formula>
    </cfRule>
  </conditionalFormatting>
  <dataValidations count="2">
    <dataValidation type="list" allowBlank="1" showInputMessage="1" showErrorMessage="1" sqref="J4 J6:J26">
      <formula1>"Yes,No,N/A"</formula1>
    </dataValidation>
    <dataValidation type="list" allowBlank="1" showInputMessage="1" showErrorMessage="1" sqref="M7">
      <formula1>"Oumayma,Dhia"</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sheetPr>
    <tabColor theme="9" tint="-0.249977111117893"/>
  </sheetPr>
  <dimension ref="A1:T28"/>
  <sheetViews>
    <sheetView topLeftCell="G2" zoomScale="56" zoomScaleNormal="40" workbookViewId="0">
      <selection activeCell="T4" sqref="T4"/>
    </sheetView>
  </sheetViews>
  <sheetFormatPr baseColWidth="10" defaultRowHeight="14.4"/>
  <cols>
    <col min="2" max="2" width="30" customWidth="1"/>
    <col min="3" max="3" width="21.77734375" customWidth="1"/>
    <col min="4" max="4" width="19.33203125" style="48" customWidth="1"/>
    <col min="5" max="5" width="19.21875" customWidth="1"/>
    <col min="6" max="6" width="33" customWidth="1"/>
    <col min="7" max="7" width="25.109375" customWidth="1"/>
    <col min="8" max="9" width="34.21875" customWidth="1"/>
    <col min="10" max="10" width="15.21875" customWidth="1"/>
    <col min="13" max="13" width="13.33203125" customWidth="1"/>
    <col min="14" max="14" width="25.44140625" customWidth="1"/>
    <col min="15" max="15" width="28.77734375" customWidth="1"/>
    <col min="16" max="16" width="15.5546875" customWidth="1"/>
    <col min="17" max="17" width="16.77734375" customWidth="1"/>
    <col min="18" max="18" width="47.44140625" customWidth="1"/>
    <col min="19" max="19" width="25.44140625" customWidth="1"/>
    <col min="20" max="20" width="30.77734375" customWidth="1"/>
  </cols>
  <sheetData>
    <row r="1" spans="1:20" ht="15" thickBot="1"/>
    <row r="2" spans="1:20" ht="24" thickBot="1">
      <c r="A2" s="50"/>
      <c r="B2" s="50"/>
      <c r="C2" s="50"/>
      <c r="D2" s="52"/>
      <c r="E2" s="50"/>
      <c r="F2" s="50"/>
      <c r="G2" s="50"/>
      <c r="H2" s="50"/>
      <c r="I2" s="50"/>
      <c r="J2" s="50"/>
      <c r="K2" s="50"/>
      <c r="L2" s="163" t="s">
        <v>279</v>
      </c>
      <c r="M2" s="164"/>
      <c r="N2" s="117" t="s">
        <v>601</v>
      </c>
      <c r="O2" s="58" t="s">
        <v>275</v>
      </c>
      <c r="P2" s="58" t="s">
        <v>273</v>
      </c>
      <c r="Q2" s="58" t="s">
        <v>274</v>
      </c>
      <c r="R2" s="58" t="s">
        <v>521</v>
      </c>
    </row>
    <row r="3" spans="1:20" ht="33.450000000000003" customHeight="1" thickBot="1">
      <c r="A3" s="50"/>
      <c r="B3" s="6" t="s">
        <v>148</v>
      </c>
      <c r="C3" s="6" t="s">
        <v>2</v>
      </c>
      <c r="D3" s="6" t="s">
        <v>256</v>
      </c>
      <c r="E3" s="6" t="s">
        <v>257</v>
      </c>
      <c r="F3" s="6" t="s">
        <v>258</v>
      </c>
      <c r="G3" s="13" t="s">
        <v>259</v>
      </c>
      <c r="H3" s="6" t="s">
        <v>260</v>
      </c>
      <c r="I3" s="6" t="s">
        <v>524</v>
      </c>
      <c r="J3" s="6" t="s">
        <v>272</v>
      </c>
      <c r="K3" s="50"/>
      <c r="L3" s="153">
        <f>COUNTA(H4:H25)</f>
        <v>11</v>
      </c>
      <c r="M3" s="165"/>
      <c r="N3" s="181">
        <f>L3-Q3</f>
        <v>8</v>
      </c>
      <c r="O3" s="168">
        <f>COUNTIF(J4:J25,"Yes")</f>
        <v>4</v>
      </c>
      <c r="P3" s="171">
        <f>COUNTIF(J4:J25,"No")</f>
        <v>4</v>
      </c>
      <c r="Q3" s="174">
        <f>COUNTIF(J4:J25,"N/A")</f>
        <v>3</v>
      </c>
      <c r="R3" s="156">
        <f>O3/N3</f>
        <v>0.5</v>
      </c>
    </row>
    <row r="4" spans="1:20" ht="120" customHeight="1" thickBot="1">
      <c r="A4" s="50"/>
      <c r="B4" s="145" t="s">
        <v>3</v>
      </c>
      <c r="C4" s="145" t="s">
        <v>4</v>
      </c>
      <c r="D4" s="190" t="s">
        <v>343</v>
      </c>
      <c r="E4" s="8" t="s">
        <v>344</v>
      </c>
      <c r="F4" s="11" t="s">
        <v>345</v>
      </c>
      <c r="G4" s="30" t="s">
        <v>152</v>
      </c>
      <c r="H4" s="190" t="s">
        <v>346</v>
      </c>
      <c r="I4" s="187" t="s">
        <v>525</v>
      </c>
      <c r="J4" s="145" t="s">
        <v>274</v>
      </c>
      <c r="K4" s="50"/>
      <c r="L4" s="154"/>
      <c r="M4" s="166"/>
      <c r="N4" s="182"/>
      <c r="O4" s="169"/>
      <c r="P4" s="172"/>
      <c r="Q4" s="175"/>
      <c r="R4" s="157"/>
      <c r="S4" s="92" t="s">
        <v>611</v>
      </c>
      <c r="T4" s="126" t="s">
        <v>613</v>
      </c>
    </row>
    <row r="5" spans="1:20" ht="169.05" customHeight="1" thickBot="1">
      <c r="A5" s="50"/>
      <c r="B5" s="145"/>
      <c r="C5" s="145"/>
      <c r="D5" s="190"/>
      <c r="E5" s="8" t="s">
        <v>347</v>
      </c>
      <c r="F5" s="11" t="s">
        <v>348</v>
      </c>
      <c r="G5" s="30" t="s">
        <v>154</v>
      </c>
      <c r="H5" s="190"/>
      <c r="I5" s="188"/>
      <c r="J5" s="145"/>
      <c r="K5" s="50"/>
      <c r="L5" s="155"/>
      <c r="M5" s="167"/>
      <c r="N5" s="183"/>
      <c r="O5" s="170"/>
      <c r="P5" s="173"/>
      <c r="Q5" s="176"/>
      <c r="R5" s="158"/>
    </row>
    <row r="6" spans="1:20" ht="141" customHeight="1">
      <c r="A6" s="50"/>
      <c r="B6" s="145"/>
      <c r="C6" s="145"/>
      <c r="D6" s="190"/>
      <c r="E6" s="8" t="s">
        <v>349</v>
      </c>
      <c r="F6" s="11" t="s">
        <v>350</v>
      </c>
      <c r="G6" s="30" t="s">
        <v>153</v>
      </c>
      <c r="H6" s="190" t="s">
        <v>351</v>
      </c>
      <c r="I6" s="187" t="s">
        <v>526</v>
      </c>
      <c r="J6" s="145" t="s">
        <v>275</v>
      </c>
      <c r="K6" s="50"/>
      <c r="L6" s="57"/>
      <c r="M6" s="57"/>
      <c r="N6" s="57"/>
      <c r="O6" s="50"/>
    </row>
    <row r="7" spans="1:20" ht="151.94999999999999" customHeight="1">
      <c r="A7" s="50"/>
      <c r="B7" s="145"/>
      <c r="C7" s="145"/>
      <c r="D7" s="190"/>
      <c r="E7" s="27" t="s">
        <v>352</v>
      </c>
      <c r="F7" s="11" t="s">
        <v>353</v>
      </c>
      <c r="G7" s="30" t="s">
        <v>155</v>
      </c>
      <c r="H7" s="190"/>
      <c r="I7" s="188"/>
      <c r="J7" s="145"/>
      <c r="K7" s="50"/>
      <c r="L7" s="50"/>
      <c r="M7" s="50"/>
      <c r="N7" s="50"/>
      <c r="O7" s="114"/>
    </row>
    <row r="8" spans="1:20" ht="109.5" customHeight="1">
      <c r="A8" s="50"/>
      <c r="B8" s="145"/>
      <c r="C8" s="145"/>
      <c r="D8" s="149" t="s">
        <v>5</v>
      </c>
      <c r="E8" s="27" t="s">
        <v>354</v>
      </c>
      <c r="F8" s="29" t="s">
        <v>355</v>
      </c>
      <c r="G8" s="30" t="s">
        <v>156</v>
      </c>
      <c r="H8" s="149" t="s">
        <v>269</v>
      </c>
      <c r="I8" s="140" t="s">
        <v>527</v>
      </c>
      <c r="J8" s="145" t="s">
        <v>274</v>
      </c>
      <c r="K8" s="50"/>
      <c r="O8" s="115"/>
    </row>
    <row r="9" spans="1:20" ht="136.05000000000001" customHeight="1">
      <c r="A9" s="50"/>
      <c r="B9" s="145"/>
      <c r="C9" s="145"/>
      <c r="D9" s="149"/>
      <c r="E9" s="27" t="s">
        <v>356</v>
      </c>
      <c r="F9" s="29" t="s">
        <v>357</v>
      </c>
      <c r="G9" s="30" t="s">
        <v>157</v>
      </c>
      <c r="H9" s="149"/>
      <c r="I9" s="142"/>
      <c r="J9" s="145"/>
      <c r="K9" s="50"/>
    </row>
    <row r="10" spans="1:20" ht="132.44999999999999" customHeight="1">
      <c r="A10" s="50"/>
      <c r="B10" s="145"/>
      <c r="C10" s="145" t="s">
        <v>6</v>
      </c>
      <c r="D10" s="149" t="s">
        <v>358</v>
      </c>
      <c r="E10" s="27" t="s">
        <v>359</v>
      </c>
      <c r="F10" s="29" t="s">
        <v>360</v>
      </c>
      <c r="G10" s="30" t="s">
        <v>160</v>
      </c>
      <c r="H10" s="190" t="s">
        <v>528</v>
      </c>
      <c r="I10" s="187" t="s">
        <v>529</v>
      </c>
      <c r="J10" s="145" t="s">
        <v>273</v>
      </c>
      <c r="K10" s="50"/>
    </row>
    <row r="11" spans="1:20" ht="138.44999999999999" customHeight="1">
      <c r="A11" s="50"/>
      <c r="B11" s="145"/>
      <c r="C11" s="145"/>
      <c r="D11" s="149"/>
      <c r="E11" s="31" t="s">
        <v>361</v>
      </c>
      <c r="F11" s="31" t="s">
        <v>362</v>
      </c>
      <c r="G11" s="30" t="s">
        <v>163</v>
      </c>
      <c r="H11" s="190"/>
      <c r="I11" s="188"/>
      <c r="J11" s="145"/>
      <c r="K11" s="50"/>
    </row>
    <row r="12" spans="1:20" ht="121.5" customHeight="1">
      <c r="A12" s="50"/>
      <c r="B12" s="145"/>
      <c r="C12" s="145"/>
      <c r="D12" s="149" t="s">
        <v>307</v>
      </c>
      <c r="E12" s="31" t="s">
        <v>342</v>
      </c>
      <c r="F12" s="31" t="s">
        <v>363</v>
      </c>
      <c r="G12" s="30" t="s">
        <v>162</v>
      </c>
      <c r="H12" s="190" t="s">
        <v>342</v>
      </c>
      <c r="I12" s="187" t="s">
        <v>530</v>
      </c>
      <c r="J12" s="145" t="s">
        <v>274</v>
      </c>
      <c r="K12" s="50"/>
    </row>
    <row r="13" spans="1:20" ht="154.5" customHeight="1">
      <c r="A13" s="50"/>
      <c r="B13" s="145"/>
      <c r="C13" s="145"/>
      <c r="D13" s="149"/>
      <c r="E13" s="31" t="s">
        <v>364</v>
      </c>
      <c r="F13" s="31" t="s">
        <v>365</v>
      </c>
      <c r="G13" s="30" t="s">
        <v>164</v>
      </c>
      <c r="H13" s="190"/>
      <c r="I13" s="192"/>
      <c r="J13" s="145"/>
      <c r="K13" s="50"/>
    </row>
    <row r="14" spans="1:20" ht="144.44999999999999" customHeight="1">
      <c r="A14" s="50"/>
      <c r="B14" s="145"/>
      <c r="C14" s="145"/>
      <c r="D14" s="24" t="s">
        <v>18</v>
      </c>
      <c r="E14" s="31" t="s">
        <v>366</v>
      </c>
      <c r="F14" s="31" t="s">
        <v>367</v>
      </c>
      <c r="G14" s="30" t="s">
        <v>170</v>
      </c>
      <c r="H14" s="190"/>
      <c r="I14" s="188"/>
      <c r="J14" s="145"/>
      <c r="K14" s="50"/>
    </row>
    <row r="15" spans="1:20" ht="52.95" customHeight="1">
      <c r="A15" s="50"/>
      <c r="B15" s="145"/>
      <c r="C15" s="145"/>
      <c r="D15" s="145" t="s">
        <v>17</v>
      </c>
      <c r="E15" s="193" t="s">
        <v>369</v>
      </c>
      <c r="F15" s="191" t="s">
        <v>370</v>
      </c>
      <c r="G15" s="194" t="s">
        <v>169</v>
      </c>
      <c r="H15" s="24" t="s">
        <v>282</v>
      </c>
      <c r="I15" s="24" t="s">
        <v>531</v>
      </c>
      <c r="J15" s="4" t="s">
        <v>275</v>
      </c>
      <c r="K15" s="50"/>
    </row>
    <row r="16" spans="1:20" ht="91.05" customHeight="1">
      <c r="A16" s="50"/>
      <c r="B16" s="145"/>
      <c r="C16" s="145"/>
      <c r="D16" s="145"/>
      <c r="E16" s="193"/>
      <c r="F16" s="191"/>
      <c r="G16" s="194"/>
      <c r="H16" s="70" t="s">
        <v>532</v>
      </c>
      <c r="I16" s="70" t="s">
        <v>533</v>
      </c>
      <c r="J16" s="4" t="s">
        <v>275</v>
      </c>
      <c r="K16" s="50"/>
    </row>
    <row r="17" spans="1:15" ht="124.05" customHeight="1">
      <c r="A17" s="50"/>
      <c r="B17" s="145"/>
      <c r="C17" s="145"/>
      <c r="D17" s="60" t="s">
        <v>368</v>
      </c>
      <c r="E17" s="31" t="s">
        <v>28</v>
      </c>
      <c r="F17" s="31" t="s">
        <v>29</v>
      </c>
      <c r="G17" s="30" t="s">
        <v>175</v>
      </c>
      <c r="H17" s="190" t="s">
        <v>371</v>
      </c>
      <c r="I17" s="187" t="s">
        <v>534</v>
      </c>
      <c r="J17" s="145" t="s">
        <v>273</v>
      </c>
      <c r="K17" s="50"/>
    </row>
    <row r="18" spans="1:15" ht="123" customHeight="1">
      <c r="A18" s="50"/>
      <c r="B18" s="145"/>
      <c r="C18" s="145"/>
      <c r="D18" s="24" t="s">
        <v>19</v>
      </c>
      <c r="E18" s="31" t="s">
        <v>372</v>
      </c>
      <c r="F18" s="31" t="s">
        <v>373</v>
      </c>
      <c r="G18" s="30" t="s">
        <v>171</v>
      </c>
      <c r="H18" s="190"/>
      <c r="I18" s="188"/>
      <c r="J18" s="145"/>
      <c r="K18" s="50"/>
    </row>
    <row r="19" spans="1:15" ht="118.05" customHeight="1">
      <c r="A19" s="50"/>
      <c r="B19" s="145"/>
      <c r="C19" s="145"/>
      <c r="D19" s="149" t="s">
        <v>25</v>
      </c>
      <c r="E19" s="31" t="s">
        <v>374</v>
      </c>
      <c r="F19" s="31" t="s">
        <v>375</v>
      </c>
      <c r="G19" s="30" t="s">
        <v>168</v>
      </c>
      <c r="H19" s="189" t="s">
        <v>376</v>
      </c>
      <c r="I19" s="187" t="s">
        <v>535</v>
      </c>
      <c r="J19" s="145" t="s">
        <v>275</v>
      </c>
      <c r="K19" s="50"/>
      <c r="M19" s="47"/>
      <c r="N19" s="47"/>
    </row>
    <row r="20" spans="1:15" ht="123" customHeight="1">
      <c r="A20" s="50"/>
      <c r="B20" s="145"/>
      <c r="C20" s="145"/>
      <c r="D20" s="149"/>
      <c r="E20" s="31" t="s">
        <v>30</v>
      </c>
      <c r="F20" s="31" t="s">
        <v>31</v>
      </c>
      <c r="G20" s="30" t="s">
        <v>176</v>
      </c>
      <c r="H20" s="189"/>
      <c r="I20" s="192"/>
      <c r="J20" s="145"/>
      <c r="K20" s="51"/>
      <c r="L20" s="45"/>
      <c r="M20" s="45"/>
      <c r="N20" s="45"/>
      <c r="O20" s="46"/>
    </row>
    <row r="21" spans="1:15" ht="106.05" customHeight="1">
      <c r="A21" s="50"/>
      <c r="B21" s="145"/>
      <c r="C21" s="145"/>
      <c r="D21" s="149"/>
      <c r="E21" s="31" t="s">
        <v>26</v>
      </c>
      <c r="F21" s="31" t="s">
        <v>27</v>
      </c>
      <c r="G21" s="30" t="s">
        <v>174</v>
      </c>
      <c r="H21" s="189"/>
      <c r="I21" s="188"/>
      <c r="J21" s="145"/>
      <c r="K21" s="50"/>
    </row>
    <row r="22" spans="1:15" ht="78" customHeight="1">
      <c r="A22" s="50"/>
      <c r="B22" s="145"/>
      <c r="C22" s="145" t="s">
        <v>24</v>
      </c>
      <c r="D22" s="145" t="s">
        <v>32</v>
      </c>
      <c r="E22" s="193" t="s">
        <v>33</v>
      </c>
      <c r="F22" s="191" t="s">
        <v>34</v>
      </c>
      <c r="G22" s="30" t="s">
        <v>177</v>
      </c>
      <c r="H22" s="190" t="s">
        <v>341</v>
      </c>
      <c r="I22" s="187" t="s">
        <v>536</v>
      </c>
      <c r="J22" s="145" t="s">
        <v>273</v>
      </c>
      <c r="K22" s="50"/>
    </row>
    <row r="23" spans="1:15" ht="72">
      <c r="A23" s="50"/>
      <c r="B23" s="145"/>
      <c r="C23" s="145"/>
      <c r="D23" s="145"/>
      <c r="E23" s="193"/>
      <c r="F23" s="191"/>
      <c r="G23" s="30" t="s">
        <v>158</v>
      </c>
      <c r="H23" s="190"/>
      <c r="I23" s="192"/>
      <c r="J23" s="145"/>
      <c r="K23" s="50"/>
    </row>
    <row r="24" spans="1:15" ht="72">
      <c r="A24" s="50"/>
      <c r="B24" s="145"/>
      <c r="C24" s="145"/>
      <c r="D24" s="24" t="s">
        <v>12</v>
      </c>
      <c r="E24" s="31" t="s">
        <v>523</v>
      </c>
      <c r="F24" s="31" t="s">
        <v>340</v>
      </c>
      <c r="G24" s="30" t="s">
        <v>166</v>
      </c>
      <c r="H24" s="190"/>
      <c r="I24" s="188"/>
      <c r="J24" s="145"/>
      <c r="K24" s="50"/>
    </row>
    <row r="25" spans="1:15" ht="100.8">
      <c r="A25" s="50"/>
      <c r="B25" s="145"/>
      <c r="C25" s="145"/>
      <c r="D25" s="2" t="s">
        <v>17</v>
      </c>
      <c r="E25" s="42" t="s">
        <v>337</v>
      </c>
      <c r="F25" s="42" t="s">
        <v>338</v>
      </c>
      <c r="G25" s="42" t="s">
        <v>339</v>
      </c>
      <c r="H25" s="42" t="s">
        <v>281</v>
      </c>
      <c r="I25" s="2" t="s">
        <v>537</v>
      </c>
      <c r="J25" s="4" t="s">
        <v>273</v>
      </c>
      <c r="K25" s="50"/>
    </row>
    <row r="26" spans="1:15">
      <c r="A26" s="50"/>
      <c r="B26" s="49"/>
      <c r="D26" s="49"/>
      <c r="K26" s="50"/>
    </row>
    <row r="27" spans="1:15">
      <c r="A27" s="50"/>
      <c r="B27" s="49"/>
    </row>
    <row r="28" spans="1:15">
      <c r="B28" s="49"/>
    </row>
  </sheetData>
  <mergeCells count="47">
    <mergeCell ref="B4:B25"/>
    <mergeCell ref="C22:C25"/>
    <mergeCell ref="P3:P5"/>
    <mergeCell ref="Q3:Q5"/>
    <mergeCell ref="D15:D16"/>
    <mergeCell ref="E15:E16"/>
    <mergeCell ref="F15:F16"/>
    <mergeCell ref="G15:G16"/>
    <mergeCell ref="E22:E23"/>
    <mergeCell ref="D22:D23"/>
    <mergeCell ref="H8:H9"/>
    <mergeCell ref="H17:H18"/>
    <mergeCell ref="J8:J9"/>
    <mergeCell ref="J10:J11"/>
    <mergeCell ref="J12:J14"/>
    <mergeCell ref="J17:J18"/>
    <mergeCell ref="L2:M2"/>
    <mergeCell ref="L3:M5"/>
    <mergeCell ref="H6:H7"/>
    <mergeCell ref="H4:H5"/>
    <mergeCell ref="J4:J5"/>
    <mergeCell ref="J6:J7"/>
    <mergeCell ref="I4:I5"/>
    <mergeCell ref="I6:I7"/>
    <mergeCell ref="J19:J21"/>
    <mergeCell ref="J22:J24"/>
    <mergeCell ref="D10:D11"/>
    <mergeCell ref="H10:H11"/>
    <mergeCell ref="D12:D13"/>
    <mergeCell ref="H12:H14"/>
    <mergeCell ref="I12:I14"/>
    <mergeCell ref="I22:I24"/>
    <mergeCell ref="I19:I21"/>
    <mergeCell ref="I17:I18"/>
    <mergeCell ref="C4:C9"/>
    <mergeCell ref="H19:H21"/>
    <mergeCell ref="H22:H24"/>
    <mergeCell ref="D19:D21"/>
    <mergeCell ref="F22:F23"/>
    <mergeCell ref="C10:C21"/>
    <mergeCell ref="D4:D7"/>
    <mergeCell ref="D8:D9"/>
    <mergeCell ref="O3:O5"/>
    <mergeCell ref="N3:N5"/>
    <mergeCell ref="R3:R5"/>
    <mergeCell ref="I8:I9"/>
    <mergeCell ref="I10:I11"/>
  </mergeCells>
  <conditionalFormatting sqref="B3:D3 E3:E4">
    <cfRule type="expression" dxfId="21" priority="11">
      <formula>$A3="header"</formula>
    </cfRule>
  </conditionalFormatting>
  <conditionalFormatting sqref="B3:J3">
    <cfRule type="expression" dxfId="20" priority="5">
      <formula>$A3="header"</formula>
    </cfRule>
    <cfRule type="expression" dxfId="19" priority="6">
      <formula>$A3="blank"</formula>
    </cfRule>
  </conditionalFormatting>
  <conditionalFormatting sqref="E5">
    <cfRule type="expression" dxfId="18" priority="18">
      <formula>$A6="header"</formula>
    </cfRule>
    <cfRule type="expression" dxfId="17" priority="19">
      <formula>$A6="header"</formula>
    </cfRule>
    <cfRule type="expression" dxfId="16" priority="20">
      <formula>$A6="blank"</formula>
    </cfRule>
  </conditionalFormatting>
  <conditionalFormatting sqref="E6">
    <cfRule type="expression" dxfId="15" priority="13">
      <formula>$A5="header"</formula>
    </cfRule>
    <cfRule type="expression" dxfId="14" priority="16">
      <formula>$A5="header"</formula>
    </cfRule>
    <cfRule type="expression" dxfId="13" priority="17">
      <formula>$A5="blank"</formula>
    </cfRule>
  </conditionalFormatting>
  <conditionalFormatting sqref="E4:F4">
    <cfRule type="expression" dxfId="12" priority="9">
      <formula>$A4="header"</formula>
    </cfRule>
    <cfRule type="expression" dxfId="11" priority="10">
      <formula>$A4="blank"</formula>
    </cfRule>
  </conditionalFormatting>
  <conditionalFormatting sqref="J4 J6 J8 J10 J12 J15:J17 J19 J22 J25">
    <cfRule type="cellIs" dxfId="10" priority="1" operator="equal">
      <formula>"N/A"</formula>
    </cfRule>
    <cfRule type="cellIs" dxfId="9" priority="2" operator="equal">
      <formula>"N/A"</formula>
    </cfRule>
    <cfRule type="cellIs" dxfId="8" priority="3" operator="equal">
      <formula>"No"</formula>
    </cfRule>
    <cfRule type="cellIs" dxfId="7" priority="4" operator="equal">
      <formula>"Yes"</formula>
    </cfRule>
  </conditionalFormatting>
  <dataValidations count="2">
    <dataValidation type="list" allowBlank="1" showInputMessage="1" showErrorMessage="1" sqref="J4 J6 J8 J10 J12 J15:J17 J19 J22 J25">
      <formula1>"Yes,No,N/A"</formula1>
    </dataValidation>
    <dataValidation type="list" allowBlank="1" showInputMessage="1" showErrorMessage="1" sqref="T4">
      <formula1>"Oumayma,Dhia"</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theme="9" tint="-0.249977111117893"/>
  </sheetPr>
  <dimension ref="A1:T12"/>
  <sheetViews>
    <sheetView topLeftCell="I1" zoomScale="73" zoomScaleNormal="50" workbookViewId="0">
      <selection activeCell="O6" sqref="O6"/>
    </sheetView>
  </sheetViews>
  <sheetFormatPr baseColWidth="10" defaultRowHeight="14.4"/>
  <cols>
    <col min="2" max="2" width="24" customWidth="1"/>
    <col min="3" max="3" width="19.33203125" customWidth="1"/>
    <col min="4" max="4" width="25.109375" customWidth="1"/>
    <col min="5" max="5" width="22.6640625" customWidth="1"/>
    <col min="6" max="6" width="25.44140625" customWidth="1"/>
    <col min="7" max="7" width="27.6640625" customWidth="1"/>
    <col min="8" max="9" width="38.44140625" customWidth="1"/>
    <col min="10" max="10" width="17.21875" customWidth="1"/>
    <col min="12" max="12" width="11.77734375" customWidth="1"/>
    <col min="13" max="13" width="11.5546875" hidden="1" customWidth="1"/>
    <col min="14" max="14" width="17.33203125" customWidth="1"/>
    <col min="15" max="15" width="29.33203125" customWidth="1"/>
    <col min="16" max="16" width="18.33203125" customWidth="1"/>
    <col min="17" max="17" width="18.6640625" customWidth="1"/>
    <col min="18" max="18" width="20.21875" customWidth="1"/>
    <col min="19" max="19" width="19.88671875" customWidth="1"/>
    <col min="20" max="20" width="42.21875" customWidth="1"/>
  </cols>
  <sheetData>
    <row r="1" spans="1:20" ht="15" thickBot="1"/>
    <row r="2" spans="1:20" ht="24" thickBot="1">
      <c r="A2" s="50"/>
      <c r="B2" s="50"/>
      <c r="C2" s="50"/>
      <c r="D2" s="50"/>
      <c r="E2" s="50"/>
      <c r="F2" s="50"/>
      <c r="G2" s="50"/>
      <c r="H2" s="50"/>
      <c r="I2" s="50"/>
      <c r="J2" s="50"/>
      <c r="K2" s="50"/>
      <c r="L2" s="50"/>
      <c r="M2" s="50"/>
      <c r="N2" s="163" t="s">
        <v>279</v>
      </c>
      <c r="O2" s="164"/>
      <c r="P2" s="117" t="s">
        <v>601</v>
      </c>
      <c r="Q2" s="58" t="s">
        <v>275</v>
      </c>
      <c r="R2" s="58" t="s">
        <v>273</v>
      </c>
      <c r="S2" s="58" t="s">
        <v>274</v>
      </c>
      <c r="T2" s="58" t="s">
        <v>521</v>
      </c>
    </row>
    <row r="3" spans="1:20" ht="14.55" customHeight="1">
      <c r="A3" s="50"/>
      <c r="B3" s="6" t="s">
        <v>148</v>
      </c>
      <c r="C3" s="6" t="s">
        <v>2</v>
      </c>
      <c r="D3" s="6" t="s">
        <v>256</v>
      </c>
      <c r="E3" s="6" t="s">
        <v>257</v>
      </c>
      <c r="F3" s="6" t="s">
        <v>258</v>
      </c>
      <c r="G3" s="13" t="s">
        <v>259</v>
      </c>
      <c r="H3" s="6" t="s">
        <v>260</v>
      </c>
      <c r="I3" s="6" t="s">
        <v>522</v>
      </c>
      <c r="J3" s="6" t="s">
        <v>272</v>
      </c>
      <c r="K3" s="6"/>
      <c r="L3" s="50"/>
      <c r="M3" s="50"/>
      <c r="N3" s="153">
        <f>COUNTA(H4:H13)</f>
        <v>4</v>
      </c>
      <c r="O3" s="165"/>
      <c r="P3" s="181">
        <f>N3-S3</f>
        <v>3</v>
      </c>
      <c r="Q3" s="168">
        <f>COUNTIF(J4:J10,"Yes")</f>
        <v>2</v>
      </c>
      <c r="R3" s="171">
        <f>COUNTIF(J4:J10,"No")</f>
        <v>0</v>
      </c>
      <c r="S3" s="174">
        <f>COUNTIF(J4:J10,"N/A")</f>
        <v>1</v>
      </c>
      <c r="T3" s="168">
        <f>Q3/P3</f>
        <v>0.66666666666666663</v>
      </c>
    </row>
    <row r="4" spans="1:20" ht="78" customHeight="1">
      <c r="A4" s="50"/>
      <c r="B4" s="145" t="s">
        <v>132</v>
      </c>
      <c r="C4" s="145" t="s">
        <v>215</v>
      </c>
      <c r="D4" s="145" t="s">
        <v>102</v>
      </c>
      <c r="E4" s="12" t="s">
        <v>105</v>
      </c>
      <c r="F4" s="12" t="s">
        <v>221</v>
      </c>
      <c r="G4" s="10" t="s">
        <v>200</v>
      </c>
      <c r="H4" s="149" t="s">
        <v>268</v>
      </c>
      <c r="I4" s="24" t="s">
        <v>544</v>
      </c>
      <c r="J4" s="145" t="s">
        <v>275</v>
      </c>
      <c r="K4" s="50"/>
      <c r="L4" s="50"/>
      <c r="M4" s="50"/>
      <c r="N4" s="154"/>
      <c r="O4" s="166"/>
      <c r="P4" s="182"/>
      <c r="Q4" s="169"/>
      <c r="R4" s="172"/>
      <c r="S4" s="175"/>
      <c r="T4" s="169"/>
    </row>
    <row r="5" spans="1:20" ht="82.95" customHeight="1" thickBot="1">
      <c r="A5" s="50"/>
      <c r="B5" s="145"/>
      <c r="C5" s="145"/>
      <c r="D5" s="145"/>
      <c r="E5" s="12" t="s">
        <v>107</v>
      </c>
      <c r="F5" s="12" t="s">
        <v>222</v>
      </c>
      <c r="G5" s="10" t="s">
        <v>201</v>
      </c>
      <c r="H5" s="149"/>
      <c r="I5" s="24" t="s">
        <v>545</v>
      </c>
      <c r="J5" s="145"/>
      <c r="K5" s="50"/>
      <c r="L5" s="50"/>
      <c r="M5" s="50"/>
      <c r="N5" s="155"/>
      <c r="O5" s="167"/>
      <c r="P5" s="183"/>
      <c r="Q5" s="170"/>
      <c r="R5" s="173"/>
      <c r="S5" s="176"/>
      <c r="T5" s="170"/>
    </row>
    <row r="6" spans="1:20" ht="88.5" customHeight="1" thickBot="1">
      <c r="A6" s="50"/>
      <c r="B6" s="145"/>
      <c r="C6" s="145"/>
      <c r="D6" s="145" t="s">
        <v>106</v>
      </c>
      <c r="E6" s="12" t="s">
        <v>108</v>
      </c>
      <c r="F6" s="12" t="s">
        <v>223</v>
      </c>
      <c r="G6" s="10" t="s">
        <v>202</v>
      </c>
      <c r="H6" s="143" t="s">
        <v>267</v>
      </c>
      <c r="I6" s="24" t="s">
        <v>538</v>
      </c>
      <c r="J6" s="145" t="s">
        <v>275</v>
      </c>
      <c r="K6" s="50"/>
      <c r="L6" s="50"/>
      <c r="M6" s="50"/>
      <c r="N6" s="92" t="s">
        <v>611</v>
      </c>
      <c r="O6" s="126" t="s">
        <v>612</v>
      </c>
      <c r="P6" s="57"/>
    </row>
    <row r="7" spans="1:20" ht="76.5" customHeight="1">
      <c r="A7" s="50"/>
      <c r="B7" s="145"/>
      <c r="C7" s="145"/>
      <c r="D7" s="145"/>
      <c r="E7" s="12" t="s">
        <v>109</v>
      </c>
      <c r="F7" s="12" t="s">
        <v>224</v>
      </c>
      <c r="G7" s="10" t="s">
        <v>203</v>
      </c>
      <c r="H7" s="144"/>
      <c r="I7" s="24" t="s">
        <v>539</v>
      </c>
      <c r="J7" s="145"/>
      <c r="K7" s="50"/>
      <c r="L7" s="50"/>
      <c r="M7" s="50"/>
      <c r="N7" s="50"/>
      <c r="O7" s="50"/>
      <c r="P7" s="50"/>
      <c r="Q7" s="114"/>
    </row>
    <row r="8" spans="1:20" ht="98.55" customHeight="1">
      <c r="A8" s="50"/>
      <c r="B8" s="145"/>
      <c r="C8" s="145"/>
      <c r="D8" s="145" t="s">
        <v>110</v>
      </c>
      <c r="E8" s="12" t="s">
        <v>111</v>
      </c>
      <c r="F8" s="12" t="s">
        <v>225</v>
      </c>
      <c r="G8" s="10" t="s">
        <v>204</v>
      </c>
      <c r="H8" s="149" t="s">
        <v>266</v>
      </c>
      <c r="I8" s="24" t="s">
        <v>540</v>
      </c>
      <c r="J8" s="140" t="s">
        <v>274</v>
      </c>
      <c r="K8" s="50"/>
      <c r="L8" s="50"/>
      <c r="M8" s="50"/>
      <c r="Q8" s="118"/>
    </row>
    <row r="9" spans="1:20" ht="75.45" customHeight="1">
      <c r="A9" s="50"/>
      <c r="B9" s="145"/>
      <c r="C9" s="145"/>
      <c r="D9" s="145"/>
      <c r="E9" s="12" t="s">
        <v>112</v>
      </c>
      <c r="F9" s="12" t="s">
        <v>226</v>
      </c>
      <c r="G9" s="10" t="s">
        <v>205</v>
      </c>
      <c r="H9" s="149"/>
      <c r="I9" s="24" t="s">
        <v>541</v>
      </c>
      <c r="J9" s="141"/>
      <c r="K9" s="50"/>
      <c r="L9" s="50"/>
      <c r="M9" s="50"/>
      <c r="Q9" s="80"/>
    </row>
    <row r="10" spans="1:20" ht="109.95" customHeight="1">
      <c r="A10" s="50"/>
      <c r="B10" s="145"/>
      <c r="C10" s="145"/>
      <c r="D10" s="145"/>
      <c r="E10" s="185" t="s">
        <v>113</v>
      </c>
      <c r="F10" s="185" t="s">
        <v>227</v>
      </c>
      <c r="G10" s="186" t="s">
        <v>206</v>
      </c>
      <c r="H10" s="149"/>
      <c r="I10" s="24" t="s">
        <v>542</v>
      </c>
      <c r="J10" s="142"/>
      <c r="K10" s="50"/>
      <c r="L10" s="50"/>
      <c r="M10" s="50"/>
      <c r="Q10" s="80"/>
    </row>
    <row r="11" spans="1:20" ht="63" customHeight="1">
      <c r="A11" s="50"/>
      <c r="B11" s="145"/>
      <c r="C11" s="145"/>
      <c r="D11" s="145"/>
      <c r="E11" s="185"/>
      <c r="F11" s="185"/>
      <c r="G11" s="186"/>
      <c r="H11" s="2" t="s">
        <v>280</v>
      </c>
      <c r="I11" s="24" t="s">
        <v>543</v>
      </c>
      <c r="J11" s="4" t="s">
        <v>273</v>
      </c>
      <c r="K11" s="50"/>
      <c r="L11" s="50"/>
      <c r="M11" s="50"/>
    </row>
    <row r="12" spans="1:20">
      <c r="A12" s="50"/>
      <c r="K12" s="50"/>
      <c r="L12" s="50"/>
      <c r="M12" s="50"/>
    </row>
  </sheetData>
  <mergeCells count="21">
    <mergeCell ref="G10:G11"/>
    <mergeCell ref="F10:F11"/>
    <mergeCell ref="P3:P5"/>
    <mergeCell ref="N2:O2"/>
    <mergeCell ref="N3:O5"/>
    <mergeCell ref="J4:J5"/>
    <mergeCell ref="B4:B11"/>
    <mergeCell ref="D6:D7"/>
    <mergeCell ref="E10:E11"/>
    <mergeCell ref="D8:D11"/>
    <mergeCell ref="C4:C11"/>
    <mergeCell ref="D4:D5"/>
    <mergeCell ref="T3:T5"/>
    <mergeCell ref="H8:H10"/>
    <mergeCell ref="H4:H5"/>
    <mergeCell ref="H6:H7"/>
    <mergeCell ref="S3:S5"/>
    <mergeCell ref="J6:J7"/>
    <mergeCell ref="J8:J10"/>
    <mergeCell ref="Q3:Q5"/>
    <mergeCell ref="R3:R5"/>
  </mergeCells>
  <conditionalFormatting sqref="B3:E3">
    <cfRule type="expression" dxfId="6" priority="9">
      <formula>$A3="header"</formula>
    </cfRule>
  </conditionalFormatting>
  <conditionalFormatting sqref="B3:K3">
    <cfRule type="expression" dxfId="5" priority="5">
      <formula>$A3="header"</formula>
    </cfRule>
    <cfRule type="expression" dxfId="4" priority="6">
      <formula>$A3="blank"</formula>
    </cfRule>
  </conditionalFormatting>
  <conditionalFormatting sqref="J4 J6 J8 J11">
    <cfRule type="cellIs" dxfId="3" priority="1" operator="equal">
      <formula>"N/A"</formula>
    </cfRule>
    <cfRule type="cellIs" dxfId="2" priority="2" operator="equal">
      <formula>"N/A"</formula>
    </cfRule>
    <cfRule type="cellIs" dxfId="1" priority="3" operator="equal">
      <formula>"No"</formula>
    </cfRule>
    <cfRule type="cellIs" dxfId="0" priority="4" operator="equal">
      <formula>"Yes"</formula>
    </cfRule>
  </conditionalFormatting>
  <dataValidations count="2">
    <dataValidation type="list" allowBlank="1" showInputMessage="1" showErrorMessage="1" sqref="J4 J6 J8 J11">
      <formula1>"Yes,No,N/A"</formula1>
    </dataValidation>
    <dataValidation type="list" allowBlank="1" showInputMessage="1" showErrorMessage="1" sqref="O6">
      <formula1>"Oumayma,Dhia"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rgb="FF002060"/>
  </sheetPr>
  <dimension ref="A1:I17"/>
  <sheetViews>
    <sheetView tabSelected="1" workbookViewId="0">
      <selection activeCell="G14" sqref="G14"/>
    </sheetView>
  </sheetViews>
  <sheetFormatPr baseColWidth="10" defaultRowHeight="14.4"/>
  <cols>
    <col min="1" max="1" width="18.109375" customWidth="1"/>
    <col min="2" max="2" width="15.5546875" customWidth="1"/>
    <col min="3" max="3" width="17.33203125" customWidth="1"/>
    <col min="7" max="7" width="13.21875" customWidth="1"/>
  </cols>
  <sheetData>
    <row r="1" spans="1:9">
      <c r="A1" s="120" t="s">
        <v>148</v>
      </c>
      <c r="B1" s="120" t="s">
        <v>608</v>
      </c>
      <c r="C1" s="120" t="s">
        <v>609</v>
      </c>
      <c r="D1" s="120" t="s">
        <v>275</v>
      </c>
      <c r="E1" s="120" t="s">
        <v>273</v>
      </c>
      <c r="F1" s="120" t="s">
        <v>274</v>
      </c>
      <c r="G1" s="120" t="s">
        <v>610</v>
      </c>
      <c r="H1" s="120" t="s">
        <v>602</v>
      </c>
      <c r="I1" s="120" t="s">
        <v>611</v>
      </c>
    </row>
    <row r="2" spans="1:9" ht="14.55" customHeight="1">
      <c r="A2" s="120" t="s">
        <v>595</v>
      </c>
      <c r="B2" s="111">
        <f>'Questionnaire Domain Forensics'!$N$3</f>
        <v>4</v>
      </c>
      <c r="C2" s="111">
        <f>'Questionnaire Domain Forensics'!$P$3</f>
        <v>3</v>
      </c>
      <c r="D2" s="111">
        <f>'Questionnaire Domain Forensics'!$Q$3</f>
        <v>2</v>
      </c>
      <c r="E2" s="111">
        <f>'Questionnaire Domain Forensics'!$R$3</f>
        <v>0</v>
      </c>
      <c r="F2" s="111">
        <f>'Questionnaire Domain Forensics'!$S$3</f>
        <v>1</v>
      </c>
      <c r="G2" s="122">
        <f>'Questionnaire Domain Forensics'!$T$3</f>
        <v>0.66666666666666663</v>
      </c>
      <c r="H2" s="125">
        <f>PONDERATION!$L$20</f>
        <v>6</v>
      </c>
      <c r="I2" s="127" t="str">
        <f>'Questionnaire Domain Forensics'!$O$6</f>
        <v>Oumayma</v>
      </c>
    </row>
    <row r="3" spans="1:9" ht="14.55" customHeight="1">
      <c r="A3" s="120" t="s">
        <v>596</v>
      </c>
      <c r="B3" s="111">
        <f>'Question Continuité d’activité'!$L$3</f>
        <v>11</v>
      </c>
      <c r="C3" s="111">
        <f>'Question Continuité d’activité'!$N$3</f>
        <v>8</v>
      </c>
      <c r="D3" s="111">
        <f>'Question Continuité d’activité'!$O$3</f>
        <v>4</v>
      </c>
      <c r="E3" s="111">
        <f>'Question Continuité d’activité'!$P$3</f>
        <v>4</v>
      </c>
      <c r="F3" s="111">
        <f>'Question Continuité d’activité'!$Q$3</f>
        <v>3</v>
      </c>
      <c r="G3" s="122">
        <f>'Question Continuité d’activité'!$R$3</f>
        <v>0.5</v>
      </c>
      <c r="H3" s="125">
        <f>PONDERATION!$L$19</f>
        <v>23</v>
      </c>
      <c r="I3" s="127" t="str">
        <f>'Question Continuité d’activité'!$T$4</f>
        <v>Dhia</v>
      </c>
    </row>
    <row r="4" spans="1:9" ht="14.55" customHeight="1">
      <c r="A4" s="120" t="s">
        <v>597</v>
      </c>
      <c r="B4" s="111">
        <f>'Questionnaire Gestion de crise'!$L$3</f>
        <v>21</v>
      </c>
      <c r="C4" s="111">
        <f>'Questionnaire Gestion de crise'!$N$3</f>
        <v>20</v>
      </c>
      <c r="D4" s="111">
        <f>'Questionnaire Gestion de crise'!$O$3</f>
        <v>16</v>
      </c>
      <c r="E4" s="111">
        <f>'Questionnaire Gestion de crise'!$P$3</f>
        <v>0</v>
      </c>
      <c r="F4" s="111">
        <f>'Questionnaire Gestion de crise'!$Q$3</f>
        <v>1</v>
      </c>
      <c r="G4" s="122">
        <f>'Questionnaire Gestion de crise'!$R$3</f>
        <v>0.8</v>
      </c>
      <c r="H4" s="125">
        <f>PONDERATION!$L$18</f>
        <v>20</v>
      </c>
      <c r="I4" s="127" t="str">
        <f>'Questionnaire Gestion de crise'!$M$7</f>
        <v>Oumayma</v>
      </c>
    </row>
    <row r="5" spans="1:9" ht="14.55" customHeight="1">
      <c r="A5" s="120" t="s">
        <v>598</v>
      </c>
      <c r="B5" s="123">
        <f>'Questionnaire Gestion Incidents'!$P$2</f>
        <v>17</v>
      </c>
      <c r="C5" s="111">
        <f>'Questionnaire Gestion Incidents'!$R$2</f>
        <v>16</v>
      </c>
      <c r="D5" s="123">
        <f>'Questionnaire Gestion Incidents'!$N$2</f>
        <v>14</v>
      </c>
      <c r="E5" s="123">
        <f>'Questionnaire Gestion Incidents'!$N$3</f>
        <v>2</v>
      </c>
      <c r="F5" s="123">
        <f>'Questionnaire Gestion Incidents'!$N$4</f>
        <v>1</v>
      </c>
      <c r="G5" s="122">
        <f>'Questionnaire Gestion Incidents'!$L$2</f>
        <v>0.875</v>
      </c>
      <c r="H5" s="125">
        <f>PONDERATION!$L$17</f>
        <v>18.5</v>
      </c>
      <c r="I5" s="127" t="str">
        <f>'Questionnaire Gestion Incidents'!$N$5</f>
        <v>Oumayma</v>
      </c>
    </row>
    <row r="6" spans="1:9" ht="14.55" customHeight="1">
      <c r="A6" s="120" t="s">
        <v>599</v>
      </c>
      <c r="B6" s="111">
        <f>'Questionnaire Confirmitee'!$L$3</f>
        <v>4</v>
      </c>
      <c r="C6" s="111">
        <f>'Questionnaire Confirmitee'!$Q$3</f>
        <v>3</v>
      </c>
      <c r="D6" s="111">
        <f>'Questionnaire Confirmitee'!$N$3</f>
        <v>2</v>
      </c>
      <c r="E6" s="111">
        <f>'Questionnaire Confirmitee'!$O$3</f>
        <v>1</v>
      </c>
      <c r="F6" s="111">
        <f>'Questionnaire Confirmitee'!$P$3</f>
        <v>1</v>
      </c>
      <c r="G6" s="122">
        <f>'Questionnaire Confirmitee'!$R$3</f>
        <v>0.66666666666666663</v>
      </c>
      <c r="H6" s="125">
        <f>PONDERATION!$L$21</f>
        <v>6</v>
      </c>
      <c r="I6" s="127" t="str">
        <f>'Questionnaire Confirmitee'!$M$7</f>
        <v>Oumayma</v>
      </c>
    </row>
    <row r="7" spans="1:9" ht="14.55" customHeight="1">
      <c r="A7" s="195" t="s">
        <v>594</v>
      </c>
      <c r="B7" s="196">
        <f>'Questionnaire Gouvernance '!$Q$2</f>
        <v>35</v>
      </c>
      <c r="C7" s="196">
        <f>'Questionnaire Gouvernance '!$S$2</f>
        <v>32</v>
      </c>
      <c r="D7" s="196">
        <f>'Questionnaire Gouvernance '!$O$2</f>
        <v>20</v>
      </c>
      <c r="E7" s="196">
        <f>'Questionnaire Gouvernance '!$O$3</f>
        <v>12</v>
      </c>
      <c r="F7" s="196">
        <f>'Questionnaire Gouvernance '!$O$4</f>
        <v>3</v>
      </c>
      <c r="G7" s="197">
        <f>'Questionnaire Gouvernance '!$L$2</f>
        <v>0.625</v>
      </c>
      <c r="H7" s="198">
        <f>PONDERATION!$L$16</f>
        <v>26.5</v>
      </c>
      <c r="I7" s="127" t="str">
        <f>'Questionnaire Gouvernance '!$U$2</f>
        <v>Dhia</v>
      </c>
    </row>
    <row r="8" spans="1:9" ht="15" customHeight="1">
      <c r="A8" s="199" t="s">
        <v>272</v>
      </c>
      <c r="B8" s="18">
        <f>SUM(B2:B7)</f>
        <v>92</v>
      </c>
      <c r="C8" s="18">
        <f>SUM(C2:C7)</f>
        <v>82</v>
      </c>
      <c r="D8" s="18">
        <f t="shared" ref="D8:F8" si="0">SUM(D2:D7)</f>
        <v>58</v>
      </c>
      <c r="E8" s="18">
        <f t="shared" si="0"/>
        <v>19</v>
      </c>
      <c r="F8" s="18">
        <f t="shared" si="0"/>
        <v>10</v>
      </c>
      <c r="G8" s="18">
        <f>G2*H2+G3*H3+G4*H4+G5*H5+G6*H6+G7*H7</f>
        <v>68.25</v>
      </c>
      <c r="H8" s="18">
        <f>SUM(H2:H7)</f>
        <v>100</v>
      </c>
    </row>
    <row r="10" spans="1:9">
      <c r="A10" s="47"/>
      <c r="B10" s="47"/>
      <c r="C10" s="47"/>
      <c r="D10" s="47"/>
      <c r="E10" s="47"/>
      <c r="F10" s="47"/>
    </row>
    <row r="11" spans="1:9" ht="21">
      <c r="A11" s="113" t="s">
        <v>603</v>
      </c>
      <c r="B11" s="113" t="s">
        <v>607</v>
      </c>
      <c r="C11" s="113" t="s">
        <v>604</v>
      </c>
      <c r="D11" s="113" t="s">
        <v>605</v>
      </c>
      <c r="E11" s="113" t="s">
        <v>606</v>
      </c>
      <c r="F11" s="119"/>
    </row>
    <row r="12" spans="1:9">
      <c r="A12" s="121">
        <v>1</v>
      </c>
      <c r="B12" s="42" t="s">
        <v>378</v>
      </c>
      <c r="C12" s="112">
        <v>0</v>
      </c>
      <c r="D12" s="112">
        <v>16</v>
      </c>
      <c r="E12" s="112">
        <v>1</v>
      </c>
    </row>
    <row r="13" spans="1:9">
      <c r="A13" s="121">
        <v>2</v>
      </c>
      <c r="B13" s="42" t="s">
        <v>379</v>
      </c>
      <c r="C13" s="112">
        <v>17</v>
      </c>
      <c r="D13" s="112">
        <v>33</v>
      </c>
      <c r="E13" s="112">
        <v>2</v>
      </c>
    </row>
    <row r="14" spans="1:9">
      <c r="A14" s="121">
        <v>3</v>
      </c>
      <c r="B14" s="42" t="s">
        <v>380</v>
      </c>
      <c r="C14" s="112">
        <v>34</v>
      </c>
      <c r="D14" s="112">
        <v>51</v>
      </c>
      <c r="E14" s="112">
        <v>3</v>
      </c>
    </row>
    <row r="15" spans="1:9">
      <c r="A15" s="121">
        <v>4</v>
      </c>
      <c r="B15" s="42" t="s">
        <v>381</v>
      </c>
      <c r="C15" s="112">
        <v>52</v>
      </c>
      <c r="D15" s="112">
        <v>68</v>
      </c>
      <c r="E15" s="112">
        <v>4</v>
      </c>
    </row>
    <row r="16" spans="1:9">
      <c r="A16" s="121">
        <v>5</v>
      </c>
      <c r="B16" s="42" t="s">
        <v>382</v>
      </c>
      <c r="C16" s="112">
        <v>69</v>
      </c>
      <c r="D16" s="112">
        <v>85</v>
      </c>
      <c r="E16" s="112">
        <v>5</v>
      </c>
    </row>
    <row r="17" spans="1:5">
      <c r="A17" s="121">
        <v>6</v>
      </c>
      <c r="B17" s="42" t="s">
        <v>383</v>
      </c>
      <c r="C17" s="112">
        <v>86</v>
      </c>
      <c r="D17" s="112">
        <v>100</v>
      </c>
      <c r="E17" s="112">
        <v>6</v>
      </c>
    </row>
  </sheetData>
  <pageMargins left="0.7" right="0.7" top="0.75" bottom="0.75" header="0.3" footer="0.3"/>
  <pageSetup paperSize="9" orientation="portrait" horizontalDpi="0" verticalDpi="0" copies="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PONDERATION</vt:lpstr>
      <vt:lpstr>Questionnaire Gestion Incidents</vt:lpstr>
      <vt:lpstr>Questionnaire Confirmitee</vt:lpstr>
      <vt:lpstr>Questionnaire Gouvernance </vt:lpstr>
      <vt:lpstr>Questionnaire Gestion de crise</vt:lpstr>
      <vt:lpstr>Question Continuité d’activité</vt:lpstr>
      <vt:lpstr>Questionnaire Domain Forensics</vt:lpstr>
      <vt:lpstr>FinalResult</vt:lpstr>
    </vt:vector>
  </TitlesOfParts>
  <Manager/>
  <Company/>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Bouali, Dhia</dc:creator>
  <cp:keywords/>
  <dc:description/>
  <cp:lastModifiedBy>Adm Network Security</cp:lastModifiedBy>
  <cp:revision/>
  <dcterms:created xsi:type="dcterms:W3CDTF">2015-06-05T18:17:20Z</dcterms:created>
  <dcterms:modified xsi:type="dcterms:W3CDTF">2026-05-12T09:37:08Z</dcterms:modified>
  <cp:category>KPMG Public</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ISConfidential">
    <vt:lpwstr>KPMG Public</vt:lpwstr>
  </property>
  <property fmtid="{D5CDD505-2E9C-101B-9397-08002B2CF9AE}" pid="3" name="KISConfidentialDesc">
    <vt:lpwstr/>
  </property>
  <property fmtid="{D5CDD505-2E9C-101B-9397-08002B2CF9AE}" pid="4" name="KISConfidentialShow">
    <vt:lpwstr>TRUE</vt:lpwstr>
  </property>
</Properties>
</file>