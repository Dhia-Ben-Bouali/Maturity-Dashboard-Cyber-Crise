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19416" windowHeight="10296" tabRatio="876" firstSheet="2" activeTab="7" autoFilterDateGrouping="1"/>
  </bookViews>
  <sheets>
    <sheet name="PONDERATION" sheetId="1" state="visible" r:id="rId1"/>
    <sheet name="Questionnaire Gestion Incidents" sheetId="2" state="visible" r:id="rId2"/>
    <sheet name="Questionnaire Confirmitee" sheetId="3" state="visible" r:id="rId3"/>
    <sheet name="Questionnaire Gouvernance " sheetId="4" state="visible" r:id="rId4"/>
    <sheet name="Questionnaire Gestion de crise" sheetId="5" state="visible" r:id="rId5"/>
    <sheet name="Question Continuité d’activité" sheetId="6" state="visible" r:id="rId6"/>
    <sheet name="Questionnaire Domain Forensics" sheetId="7" state="visible" r:id="rId7"/>
    <sheet name="FinalResult"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family val="2"/>
      <color theme="1"/>
      <sz val="16"/>
      <scheme val="minor"/>
    </font>
    <font>
      <name val="Calibri"/>
      <family val="2"/>
      <b val="1"/>
      <color theme="1"/>
      <sz val="12"/>
      <scheme val="minor"/>
    </font>
    <font>
      <name val="Calibri"/>
      <family val="2"/>
      <b val="1"/>
      <color theme="1"/>
      <sz val="11"/>
      <scheme val="minor"/>
    </font>
    <font>
      <name val="Calibri"/>
      <family val="2"/>
      <b val="1"/>
      <color theme="1"/>
      <sz val="16"/>
      <scheme val="minor"/>
    </font>
    <font>
      <name val="Calibri"/>
      <family val="2"/>
      <b val="1"/>
      <color theme="0"/>
      <sz val="10"/>
      <scheme val="minor"/>
    </font>
    <font>
      <name val="Calibri"/>
      <family val="2"/>
      <b val="1"/>
      <color theme="1"/>
      <sz val="10"/>
      <scheme val="minor"/>
    </font>
    <font>
      <name val="Calibri"/>
      <family val="2"/>
      <b val="1"/>
      <color rgb="FF000000"/>
      <sz val="11"/>
      <scheme val="minor"/>
    </font>
    <font>
      <name val="Calibri"/>
      <family val="2"/>
      <b val="1"/>
      <color rgb="FFFFFFFF"/>
      <sz val="10"/>
      <scheme val="minor"/>
    </font>
    <font>
      <name val="Calibri"/>
      <family val="2"/>
      <color theme="1"/>
      <sz val="100"/>
      <scheme val="minor"/>
    </font>
    <font>
      <name val="Calibri"/>
      <family val="2"/>
      <b val="1"/>
      <color theme="0"/>
      <sz val="11"/>
      <scheme val="minor"/>
    </font>
    <font>
      <name val="Calibri"/>
      <family val="2"/>
      <b val="1"/>
      <color theme="1"/>
      <sz val="18"/>
      <scheme val="minor"/>
    </font>
    <font>
      <name val="Calibri"/>
      <family val="2"/>
      <color theme="1"/>
      <sz val="28"/>
      <scheme val="minor"/>
    </font>
    <font>
      <name val="Calibri"/>
      <family val="2"/>
      <b val="1"/>
      <color theme="1"/>
      <sz val="28"/>
      <scheme val="minor"/>
    </font>
    <font>
      <name val="Calibri"/>
      <family val="2"/>
      <color theme="1"/>
      <sz val="72"/>
      <scheme val="minor"/>
    </font>
    <font>
      <name val="Calibri"/>
      <family val="2"/>
      <color theme="1"/>
      <sz val="36"/>
      <scheme val="minor"/>
    </font>
    <font>
      <name val="Calibri"/>
      <family val="2"/>
      <color theme="1"/>
      <sz val="20"/>
      <scheme val="minor"/>
    </font>
  </fonts>
  <fills count="12">
    <fill>
      <patternFill/>
    </fill>
    <fill>
      <patternFill patternType="gray125"/>
    </fill>
    <fill>
      <patternFill patternType="solid">
        <fgColor theme="9" tint="0.5999938962981048"/>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rgb="FF006533"/>
        <bgColor indexed="64"/>
      </patternFill>
    </fill>
    <fill>
      <patternFill patternType="solid">
        <fgColor theme="0"/>
        <bgColor indexed="64"/>
      </patternFill>
    </fill>
    <fill>
      <patternFill patternType="solid">
        <fgColor rgb="FF006533"/>
        <bgColor rgb="FF000000"/>
      </patternFill>
    </fill>
    <fill>
      <patternFill patternType="solid">
        <fgColor theme="9" tint="0.3999755851924192"/>
        <bgColor indexed="64"/>
      </patternFill>
    </fill>
    <fill>
      <patternFill patternType="solid">
        <fgColor theme="5" tint="0.7999816888943144"/>
        <bgColor indexed="64"/>
      </patternFill>
    </fill>
    <fill>
      <patternFill patternType="solid">
        <fgColor rgb="FFFF5050"/>
        <bgColor indexed="64"/>
      </patternFill>
    </fill>
    <fill>
      <patternFill patternType="solid">
        <fgColor theme="3" tint="0.7999816888943144"/>
        <bgColor indexed="64"/>
      </patternFill>
    </fill>
  </fills>
  <borders count="3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top style="medium">
        <color indexed="64"/>
      </top>
      <bottom/>
      <diagonal/>
    </border>
  </borders>
  <cellStyleXfs count="1">
    <xf numFmtId="0" fontId="0" fillId="0" borderId="0"/>
  </cellStyleXfs>
  <cellXfs count="189">
    <xf numFmtId="0" fontId="0" fillId="0" borderId="0" pivotButton="0" quotePrefix="0" xfId="0"/>
    <xf numFmtId="0" fontId="2" fillId="0" borderId="3" applyAlignment="1" pivotButton="0" quotePrefix="0" xfId="0">
      <alignment horizontal="center" vertical="center" wrapText="1"/>
    </xf>
    <xf numFmtId="0" fontId="0" fillId="0" borderId="3" applyAlignment="1" pivotButton="0" quotePrefix="0" xfId="0">
      <alignment vertical="center" wrapText="1"/>
    </xf>
    <xf numFmtId="0" fontId="0" fillId="3" borderId="0" pivotButton="0" quotePrefix="0" xfId="0"/>
    <xf numFmtId="9" fontId="5" fillId="5" borderId="3" applyAlignment="1" applyProtection="1" pivotButton="0" quotePrefix="0" xfId="0">
      <alignment horizontal="center" vertical="center" wrapText="1"/>
      <protection locked="1" hidden="1"/>
    </xf>
    <xf numFmtId="0" fontId="0" fillId="0" borderId="3" pivotButton="0" quotePrefix="0" xfId="0"/>
    <xf numFmtId="9" fontId="6" fillId="6" borderId="3" applyAlignment="1" applyProtection="1" pivotButton="0" quotePrefix="0" xfId="0">
      <alignment horizontal="left" vertical="center" wrapText="1"/>
      <protection locked="1" hidden="1"/>
    </xf>
    <xf numFmtId="0" fontId="3" fillId="0" borderId="3" applyAlignment="1" pivotButton="0" quotePrefix="0" xfId="0">
      <alignment vertical="center" wrapText="1"/>
    </xf>
    <xf numFmtId="9" fontId="6" fillId="6" borderId="3" applyAlignment="1" applyProtection="1" pivotButton="0" quotePrefix="0" xfId="0">
      <alignment vertical="center" wrapText="1"/>
      <protection locked="1" hidden="1"/>
    </xf>
    <xf numFmtId="0" fontId="6" fillId="0" borderId="3" applyAlignment="1" pivotButton="0" quotePrefix="0" xfId="0">
      <alignment vertical="center" wrapText="1"/>
    </xf>
    <xf numFmtId="9" fontId="5" fillId="5" borderId="3" applyAlignment="1" applyProtection="1" pivotButton="0" quotePrefix="0" xfId="0">
      <alignment horizontal="center" wrapText="1"/>
      <protection locked="1" hidden="1"/>
    </xf>
    <xf numFmtId="2" fontId="0" fillId="0" borderId="3" applyAlignment="1" pivotButton="0" quotePrefix="0" xfId="0">
      <alignment horizontal="center" vertical="center" wrapText="1"/>
    </xf>
    <xf numFmtId="2" fontId="0" fillId="0" borderId="3" applyAlignment="1" pivotButton="0" quotePrefix="0" xfId="0">
      <alignment horizontal="center" vertical="center"/>
    </xf>
    <xf numFmtId="164" fontId="0" fillId="0" borderId="3" applyAlignment="1" pivotButton="0" quotePrefix="0" xfId="0">
      <alignment horizontal="center" vertical="center"/>
    </xf>
    <xf numFmtId="2" fontId="0" fillId="0" borderId="3" pivotButton="0" quotePrefix="0" xfId="0"/>
    <xf numFmtId="0" fontId="3" fillId="3" borderId="0" applyAlignment="1" pivotButton="0" quotePrefix="0" xfId="0">
      <alignment horizontal="center" vertical="center" wrapText="1"/>
    </xf>
    <xf numFmtId="2" fontId="0" fillId="3" borderId="0" applyAlignment="1" pivotButton="0" quotePrefix="0" xfId="0">
      <alignment horizontal="center" vertical="center"/>
    </xf>
    <xf numFmtId="2" fontId="0" fillId="3" borderId="0" pivotButton="0" quotePrefix="0" xfId="0"/>
    <xf numFmtId="0" fontId="3" fillId="3" borderId="0" applyAlignment="1" pivotButton="0" quotePrefix="0" xfId="0">
      <alignment horizontal="left" vertical="center" indent="1"/>
    </xf>
    <xf numFmtId="0" fontId="3" fillId="0" borderId="13" applyAlignment="1" pivotButton="0" quotePrefix="0" xfId="0">
      <alignment horizontal="center" vertical="center" wrapText="1"/>
    </xf>
    <xf numFmtId="0" fontId="7" fillId="0" borderId="3" applyAlignment="1" pivotButton="0" quotePrefix="0" xfId="0">
      <alignment vertical="center" wrapText="1"/>
    </xf>
    <xf numFmtId="0" fontId="3" fillId="6" borderId="3" applyAlignment="1" pivotButton="0" quotePrefix="0" xfId="0">
      <alignment horizontal="left" vertical="center" wrapText="1"/>
    </xf>
    <xf numFmtId="0" fontId="6" fillId="6" borderId="3" applyAlignment="1" pivotButton="0" quotePrefix="0" xfId="0">
      <alignment wrapText="1"/>
    </xf>
    <xf numFmtId="0" fontId="3" fillId="6" borderId="3" applyAlignment="1" pivotButton="0" quotePrefix="0" xfId="0">
      <alignment vertical="center" wrapText="1"/>
    </xf>
    <xf numFmtId="0" fontId="6" fillId="6" borderId="3" applyAlignment="1" pivotButton="0" quotePrefix="0" xfId="0">
      <alignment vertical="center" wrapText="1"/>
    </xf>
    <xf numFmtId="0" fontId="3" fillId="6" borderId="3" applyAlignment="1" pivotButton="0" quotePrefix="0" xfId="0">
      <alignment wrapText="1"/>
    </xf>
    <xf numFmtId="0" fontId="0" fillId="2" borderId="8" applyAlignment="1" pivotButton="0" quotePrefix="0" xfId="0">
      <alignment horizontal="center" vertical="center"/>
    </xf>
    <xf numFmtId="0" fontId="0" fillId="0" borderId="13" pivotButton="0" quotePrefix="0" xfId="0"/>
    <xf numFmtId="0" fontId="2" fillId="4" borderId="3" applyAlignment="1" pivotButton="0" quotePrefix="0" xfId="0">
      <alignment horizontal="center" vertical="center"/>
    </xf>
    <xf numFmtId="1" fontId="2" fillId="0" borderId="3" applyAlignment="1" pivotButton="0" quotePrefix="0" xfId="0">
      <alignment horizontal="center" vertical="center"/>
    </xf>
    <xf numFmtId="0" fontId="2" fillId="2" borderId="8" applyAlignment="1" pivotButton="0" quotePrefix="0" xfId="0">
      <alignment horizontal="center" vertical="center"/>
    </xf>
    <xf numFmtId="0" fontId="3" fillId="4" borderId="3" applyAlignment="1" pivotButton="0" quotePrefix="0" xfId="0">
      <alignment horizontal="center" vertical="center"/>
    </xf>
    <xf numFmtId="0" fontId="3" fillId="4" borderId="3" applyAlignment="1" pivotButton="0" quotePrefix="0" xfId="0">
      <alignment horizontal="center" vertical="center" wrapText="1"/>
    </xf>
    <xf numFmtId="0" fontId="3" fillId="3" borderId="0" applyAlignment="1" pivotButton="0" quotePrefix="0" xfId="0">
      <alignment vertical="center"/>
    </xf>
    <xf numFmtId="1" fontId="3" fillId="0" borderId="3" pivotButton="0" quotePrefix="0" xfId="0"/>
    <xf numFmtId="0" fontId="0" fillId="0" borderId="3" applyAlignment="1" pivotButton="0" quotePrefix="0" xfId="0">
      <alignment wrapText="1"/>
    </xf>
    <xf numFmtId="9" fontId="8" fillId="7" borderId="3" applyAlignment="1" applyProtection="1" pivotButton="0" quotePrefix="0" xfId="0">
      <alignment horizontal="center" vertical="center" wrapText="1"/>
      <protection locked="1" hidden="1"/>
    </xf>
    <xf numFmtId="0" fontId="6" fillId="0" borderId="0" applyAlignment="1" pivotButton="0" quotePrefix="0" xfId="0">
      <alignment vertical="center" wrapText="1"/>
    </xf>
    <xf numFmtId="0" fontId="3" fillId="0" borderId="0" applyAlignment="1" pivotButton="0" quotePrefix="0" xfId="0">
      <alignment vertical="center" wrapText="1"/>
    </xf>
    <xf numFmtId="0" fontId="0" fillId="0" borderId="0" applyAlignment="1" pivotButton="0" quotePrefix="0" xfId="0">
      <alignment horizontal="left"/>
    </xf>
    <xf numFmtId="0" fontId="0" fillId="0" borderId="0" applyAlignment="1" pivotButton="0" quotePrefix="0" xfId="0">
      <alignment vertical="center" wrapText="1"/>
    </xf>
    <xf numFmtId="0" fontId="0" fillId="6" borderId="0" applyAlignment="1" pivotButton="0" quotePrefix="0" xfId="0">
      <alignment vertical="center" wrapText="1"/>
    </xf>
    <xf numFmtId="0" fontId="0" fillId="6" borderId="0" applyAlignment="1" pivotButton="0" quotePrefix="0" xfId="0">
      <alignment horizontal="left"/>
    </xf>
    <xf numFmtId="9" fontId="5" fillId="5" borderId="0" applyAlignment="1" applyProtection="1" pivotButton="0" quotePrefix="0" xfId="0">
      <alignment horizontal="center" vertical="center" wrapText="1"/>
      <protection locked="1" hidden="1"/>
    </xf>
    <xf numFmtId="9" fontId="10" fillId="5" borderId="3" applyAlignment="1" applyProtection="1" pivotButton="0" quotePrefix="0" xfId="0">
      <alignment horizontal="center" vertical="center" wrapText="1"/>
      <protection locked="1" hidden="1"/>
    </xf>
    <xf numFmtId="9" fontId="10" fillId="5" borderId="0" applyAlignment="1" applyProtection="1" pivotButton="0" quotePrefix="0" xfId="0">
      <alignment horizontal="center" vertical="center" wrapText="1"/>
      <protection locked="1" hidden="1"/>
    </xf>
    <xf numFmtId="0" fontId="9" fillId="0" borderId="0" applyAlignment="1" pivotButton="0" quotePrefix="0" xfId="0">
      <alignment vertical="center"/>
    </xf>
    <xf numFmtId="0" fontId="11" fillId="0" borderId="14" applyAlignment="1" pivotButton="0" quotePrefix="0" xfId="0">
      <alignment horizontal="center" vertical="center"/>
    </xf>
    <xf numFmtId="0" fontId="0" fillId="9" borderId="0" pivotButton="0" quotePrefix="0" xfId="0"/>
    <xf numFmtId="0" fontId="0" fillId="0" borderId="3" applyAlignment="1" pivotButton="0" quotePrefix="0" xfId="0">
      <alignment horizontal="left" vertical="center"/>
    </xf>
    <xf numFmtId="0" fontId="3" fillId="8" borderId="3" applyAlignment="1" pivotButton="0" quotePrefix="0" xfId="0">
      <alignment horizontal="center" vertical="center" wrapText="1"/>
    </xf>
    <xf numFmtId="0" fontId="0" fillId="8" borderId="3" pivotButton="0" quotePrefix="0" xfId="0"/>
    <xf numFmtId="0" fontId="3" fillId="8" borderId="3" pivotButton="0" quotePrefix="0" xfId="0"/>
    <xf numFmtId="0" fontId="0" fillId="0" borderId="7" applyAlignment="1" pivotButton="0" quotePrefix="0" xfId="0">
      <alignment wrapText="1"/>
    </xf>
    <xf numFmtId="0" fontId="0" fillId="0" borderId="0" applyAlignment="1" pivotButton="0" quotePrefix="0" xfId="0">
      <alignment horizontal="center" vertical="center" wrapText="1"/>
    </xf>
    <xf numFmtId="0" fontId="9" fillId="6" borderId="0" applyAlignment="1" pivotButton="0" quotePrefix="0" xfId="0">
      <alignment horizontal="center" vertical="center"/>
    </xf>
    <xf numFmtId="0" fontId="0" fillId="0" borderId="6" applyAlignment="1" pivotButton="0" quotePrefix="0" xfId="0">
      <alignment vertical="center"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wrapText="1"/>
    </xf>
    <xf numFmtId="0" fontId="0" fillId="0" borderId="4" applyAlignment="1" pivotButton="0" quotePrefix="0" xfId="0">
      <alignment horizontal="left" vertical="center" wrapText="1"/>
    </xf>
    <xf numFmtId="0" fontId="0" fillId="0" borderId="6" applyAlignment="1" pivotButton="0" quotePrefix="0" xfId="0">
      <alignment horizontal="left" vertical="center" wrapText="1"/>
    </xf>
    <xf numFmtId="0" fontId="0" fillId="0" borderId="4" applyAlignment="1" pivotButton="0" quotePrefix="0" xfId="0">
      <alignment vertical="center" wrapText="1"/>
    </xf>
    <xf numFmtId="9" fontId="5" fillId="5" borderId="3" applyAlignment="1" applyProtection="1" pivotButton="0" quotePrefix="0" xfId="0">
      <alignment horizontal="left" vertical="center" wrapText="1"/>
      <protection locked="1" hidden="1"/>
    </xf>
    <xf numFmtId="0" fontId="12" fillId="0" borderId="0" applyAlignment="1" pivotButton="0" quotePrefix="0" xfId="0">
      <alignment vertical="center"/>
    </xf>
    <xf numFmtId="2" fontId="2" fillId="0" borderId="3" applyAlignment="1" pivotButton="0" quotePrefix="0" xfId="0">
      <alignment horizontal="center" vertical="center"/>
    </xf>
    <xf numFmtId="0" fontId="0" fillId="0" borderId="7" applyAlignment="1" pivotButton="0" quotePrefix="0" xfId="0">
      <alignment vertical="center" wrapText="1"/>
    </xf>
    <xf numFmtId="0" fontId="0" fillId="6" borderId="3" pivotButton="0" quotePrefix="0" xfId="0"/>
    <xf numFmtId="1" fontId="9" fillId="3" borderId="15" applyAlignment="1" pivotButton="0" quotePrefix="0" xfId="0">
      <alignment horizontal="center" vertical="center"/>
    </xf>
    <xf numFmtId="1" fontId="9" fillId="8" borderId="20" applyAlignment="1" pivotButton="0" quotePrefix="0" xfId="0">
      <alignment horizontal="center" vertical="center"/>
    </xf>
    <xf numFmtId="1" fontId="9" fillId="10" borderId="20" applyAlignment="1" pivotButton="0" quotePrefix="0" xfId="0">
      <alignment horizontal="center" vertical="center"/>
    </xf>
    <xf numFmtId="1" fontId="9" fillId="11" borderId="16" applyAlignment="1" pivotButton="0" quotePrefix="0" xfId="0">
      <alignment horizontal="center" vertical="center"/>
    </xf>
    <xf numFmtId="1" fontId="0" fillId="0" borderId="0" pivotButton="0" quotePrefix="0" xfId="0"/>
    <xf numFmtId="1" fontId="11" fillId="0" borderId="0" applyAlignment="1" pivotButton="0" quotePrefix="0" xfId="0">
      <alignment horizontal="center" vertical="center"/>
    </xf>
    <xf numFmtId="1" fontId="9" fillId="0" borderId="0" applyAlignment="1" pivotButton="0" quotePrefix="0" xfId="0">
      <alignment vertical="center"/>
    </xf>
    <xf numFmtId="2" fontId="0" fillId="0" borderId="0" pivotButton="0" quotePrefix="0" xfId="0"/>
    <xf numFmtId="49" fontId="11" fillId="0" borderId="14" applyAlignment="1" pivotButton="0" quotePrefix="0" xfId="0">
      <alignment horizontal="center" vertical="center"/>
    </xf>
    <xf numFmtId="49" fontId="0" fillId="0" borderId="0" pivotButton="0" quotePrefix="0" xfId="0"/>
    <xf numFmtId="2" fontId="14" fillId="8" borderId="20" applyAlignment="1" pivotButton="0" quotePrefix="0" xfId="0">
      <alignment horizontal="center" vertical="center"/>
    </xf>
    <xf numFmtId="49" fontId="3" fillId="0" borderId="3" applyAlignment="1" pivotButton="0" quotePrefix="0" xfId="0">
      <alignment horizontal="center" vertical="center" wrapText="1"/>
    </xf>
    <xf numFmtId="49" fontId="3" fillId="0" borderId="0" applyAlignment="1" pivotButton="0" quotePrefix="0" xfId="0">
      <alignment horizontal="center" vertical="center" wrapText="1"/>
    </xf>
    <xf numFmtId="2" fontId="2" fillId="0" borderId="0" applyAlignment="1" pivotButton="0" quotePrefix="0" xfId="0">
      <alignment horizontal="center" vertical="center"/>
    </xf>
    <xf numFmtId="0" fontId="9" fillId="3" borderId="15" applyAlignment="1" pivotButton="0" quotePrefix="0" xfId="0">
      <alignment vertical="center"/>
    </xf>
    <xf numFmtId="0" fontId="9" fillId="3" borderId="14" applyAlignment="1" pivotButton="0" quotePrefix="0" xfId="0">
      <alignment vertical="center"/>
    </xf>
    <xf numFmtId="1" fontId="9" fillId="8" borderId="14" applyAlignment="1" pivotButton="0" quotePrefix="0" xfId="0">
      <alignment vertical="center"/>
    </xf>
    <xf numFmtId="1" fontId="9" fillId="10" borderId="17" applyAlignment="1" pivotButton="0" quotePrefix="0" xfId="0">
      <alignment vertical="center"/>
    </xf>
    <xf numFmtId="1" fontId="9" fillId="11" borderId="11" applyAlignment="1" pivotButton="0" quotePrefix="0" xfId="0">
      <alignment vertical="center"/>
    </xf>
    <xf numFmtId="49" fontId="11" fillId="0" borderId="17" applyAlignment="1" pivotButton="0" quotePrefix="0" xfId="0">
      <alignment horizontal="center" vertical="center"/>
    </xf>
    <xf numFmtId="0" fontId="0" fillId="0" borderId="3" applyAlignment="1" pivotButton="0" quotePrefix="0" xfId="0">
      <alignment horizontal="center"/>
    </xf>
    <xf numFmtId="0" fontId="3" fillId="0" borderId="0" applyAlignment="1" pivotButton="0" quotePrefix="0" xfId="0">
      <alignment horizontal="center" vertical="center"/>
    </xf>
    <xf numFmtId="2" fontId="13" fillId="0" borderId="0" applyAlignment="1" pivotButton="0" quotePrefix="0" xfId="0">
      <alignment horizontal="center" vertical="center"/>
    </xf>
    <xf numFmtId="9" fontId="5" fillId="3" borderId="3" applyAlignment="1" applyProtection="1" pivotButton="0" quotePrefix="0" xfId="0">
      <alignment horizontal="center" vertical="center" wrapText="1"/>
      <protection locked="1" hidden="1"/>
    </xf>
    <xf numFmtId="0" fontId="11" fillId="0" borderId="21" applyAlignment="1" pivotButton="0" quotePrefix="0" xfId="0">
      <alignment horizontal="center" vertical="center"/>
    </xf>
    <xf numFmtId="0" fontId="13" fillId="0" borderId="0" applyAlignment="1" pivotButton="0" quotePrefix="0" xfId="0">
      <alignment horizontal="center" vertical="center"/>
    </xf>
    <xf numFmtId="0" fontId="1" fillId="0" borderId="0" applyAlignment="1" pivotButton="0" quotePrefix="1" xfId="0">
      <alignment horizontal="center" vertical="center" wrapText="1"/>
    </xf>
    <xf numFmtId="0" fontId="3" fillId="0" borderId="3" applyAlignment="1" pivotButton="0" quotePrefix="0" xfId="0">
      <alignment horizontal="center" wrapText="1"/>
    </xf>
    <xf numFmtId="2" fontId="0" fillId="0" borderId="3" applyAlignment="1" pivotButton="0" quotePrefix="0" xfId="0">
      <alignment horizontal="center"/>
    </xf>
    <xf numFmtId="1" fontId="0" fillId="0" borderId="3" applyAlignment="1" pivotButton="0" quotePrefix="0" xfId="0">
      <alignment horizontal="center"/>
    </xf>
    <xf numFmtId="164" fontId="0" fillId="0" borderId="3" applyAlignment="1" pivotButton="0" quotePrefix="0" xfId="0">
      <alignment horizontal="center"/>
    </xf>
    <xf numFmtId="1" fontId="15" fillId="11" borderId="16" applyAlignment="1" pivotButton="0" quotePrefix="0" xfId="0">
      <alignment horizontal="center" vertical="center"/>
    </xf>
    <xf numFmtId="49" fontId="0" fillId="0" borderId="3" pivotButton="0" quotePrefix="0" xfId="0"/>
    <xf numFmtId="0" fontId="3" fillId="0" borderId="7" pivotButton="0" quotePrefix="0" xfId="0"/>
    <xf numFmtId="1" fontId="0" fillId="0" borderId="7" applyAlignment="1" pivotButton="0" quotePrefix="0" xfId="0">
      <alignment horizontal="center"/>
    </xf>
    <xf numFmtId="2" fontId="0" fillId="0" borderId="7" applyAlignment="1" pivotButton="0" quotePrefix="0" xfId="0">
      <alignment horizontal="center"/>
    </xf>
    <xf numFmtId="164" fontId="0" fillId="0" borderId="7" applyAlignment="1" pivotButton="0" quotePrefix="0" xfId="0">
      <alignment horizontal="center"/>
    </xf>
    <xf numFmtId="0" fontId="3" fillId="0" borderId="3" pivotButton="0" quotePrefix="0" xfId="0"/>
    <xf numFmtId="1" fontId="0" fillId="0" borderId="3" pivotButton="0" quotePrefix="0" xfId="0"/>
    <xf numFmtId="1" fontId="15" fillId="11" borderId="21" applyAlignment="1" pivotButton="0" quotePrefix="0" xfId="0">
      <alignment horizontal="center" vertical="center"/>
    </xf>
    <xf numFmtId="1" fontId="11" fillId="0" borderId="14" applyAlignment="1" pivotButton="0" quotePrefix="0" xfId="0">
      <alignment horizontal="center" vertical="center"/>
    </xf>
    <xf numFmtId="0" fontId="0" fillId="6" borderId="0" pivotButton="0" quotePrefix="0" xfId="0"/>
    <xf numFmtId="9" fontId="5" fillId="6" borderId="0" applyAlignment="1" applyProtection="1" pivotButton="0" quotePrefix="0" xfId="0">
      <alignment horizontal="center" vertical="center" wrapText="1"/>
      <protection locked="1" hidden="1"/>
    </xf>
    <xf numFmtId="0" fontId="3" fillId="0" borderId="0" pivotButton="0" quotePrefix="0" xfId="0"/>
    <xf numFmtId="0" fontId="16" fillId="0" borderId="0" applyAlignment="1" pivotButton="0" quotePrefix="0" xfId="0">
      <alignment wrapText="1"/>
    </xf>
    <xf numFmtId="0" fontId="1" fillId="0" borderId="0" applyAlignment="1" pivotButton="0" quotePrefix="0" xfId="0">
      <alignment wrapText="1"/>
    </xf>
    <xf numFmtId="49" fontId="11" fillId="0" borderId="22" applyAlignment="1" pivotButton="0" quotePrefix="0" xfId="0">
      <alignment horizontal="center" vertical="center"/>
    </xf>
    <xf numFmtId="49" fontId="11" fillId="0" borderId="23" applyAlignment="1" pivotButton="0" quotePrefix="0" xfId="0">
      <alignment horizontal="center" vertical="center"/>
    </xf>
    <xf numFmtId="2" fontId="13" fillId="8" borderId="23" applyAlignment="1" pivotButton="0" quotePrefix="0" xfId="0">
      <alignment horizontal="center" vertical="center"/>
    </xf>
    <xf numFmtId="0" fontId="11" fillId="0" borderId="24" applyAlignment="1" pivotButton="0" quotePrefix="0" xfId="0">
      <alignment vertical="center"/>
    </xf>
    <xf numFmtId="1" fontId="11" fillId="0" borderId="10" applyAlignment="1" pivotButton="0" quotePrefix="0" xfId="0">
      <alignment horizontal="center" vertical="center"/>
    </xf>
    <xf numFmtId="0" fontId="1" fillId="0" borderId="3" applyAlignment="1" pivotButton="0" quotePrefix="0" xfId="0">
      <alignment wrapText="1"/>
    </xf>
    <xf numFmtId="0" fontId="0" fillId="8" borderId="0" pivotButton="0" quotePrefix="0" xfId="0"/>
    <xf numFmtId="1" fontId="0" fillId="0" borderId="0" applyAlignment="1" pivotButton="0" quotePrefix="0" xfId="0">
      <alignment wrapText="1"/>
    </xf>
    <xf numFmtId="1" fontId="0" fillId="0" borderId="3"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3" applyAlignment="1" pivotButton="0" quotePrefix="0" xfId="0">
      <alignment horizontal="center" vertical="center" wrapText="1"/>
    </xf>
    <xf numFmtId="0" fontId="0" fillId="0" borderId="3" applyAlignment="1" pivotButton="0" quotePrefix="0" xfId="0">
      <alignment horizontal="left" vertical="center" wrapText="1"/>
    </xf>
    <xf numFmtId="0" fontId="0" fillId="0" borderId="12" applyAlignment="1" pivotButton="0" quotePrefix="0" xfId="0">
      <alignment horizontal="left" vertical="center" wrapText="1"/>
    </xf>
    <xf numFmtId="0" fontId="4" fillId="0" borderId="3" applyAlignment="1" pivotButton="0" quotePrefix="0" xfId="0">
      <alignment horizontal="left" vertical="center" wrapText="1"/>
    </xf>
    <xf numFmtId="0" fontId="0" fillId="9" borderId="0" applyAlignment="1" pivotButton="0" quotePrefix="0" xfId="0">
      <alignment horizontal="center"/>
    </xf>
    <xf numFmtId="49" fontId="11" fillId="0" borderId="15" applyAlignment="1" pivotButton="0" quotePrefix="0" xfId="0">
      <alignment horizontal="center" vertical="center"/>
    </xf>
    <xf numFmtId="0" fontId="0" fillId="0" borderId="3" applyAlignment="1" pivotButton="0" quotePrefix="0" xfId="0">
      <alignment horizontal="center" wrapText="1"/>
    </xf>
    <xf numFmtId="0" fontId="0" fillId="0" borderId="3" applyAlignment="1" pivotButton="0" quotePrefix="0" xfId="0">
      <alignment horizontal="center" vertical="center"/>
    </xf>
    <xf numFmtId="0" fontId="6" fillId="0" borderId="3" applyAlignment="1" pivotButton="0" quotePrefix="0" xfId="0">
      <alignment horizontal="left" vertical="center" wrapText="1"/>
    </xf>
    <xf numFmtId="0" fontId="3" fillId="0" borderId="3" applyAlignment="1" pivotButton="0" quotePrefix="0" xfId="0">
      <alignment horizontal="center" vertical="center" wrapText="1"/>
    </xf>
    <xf numFmtId="0" fontId="6" fillId="6" borderId="3" applyAlignment="1" pivotButton="0" quotePrefix="0" xfId="0">
      <alignment horizontal="left" vertical="center" wrapText="1"/>
    </xf>
    <xf numFmtId="0" fontId="0" fillId="6" borderId="3" applyAlignment="1" pivotButton="0" quotePrefix="0" xfId="0">
      <alignment horizontal="left" vertical="center" wrapText="1"/>
    </xf>
    <xf numFmtId="0" fontId="0" fillId="6" borderId="3" applyAlignment="1" pivotButton="0" quotePrefix="0" xfId="0">
      <alignment vertical="center" wrapText="1"/>
    </xf>
    <xf numFmtId="1" fontId="0" fillId="0" borderId="3" applyAlignment="1" pivotButton="0" quotePrefix="0" xfId="0">
      <alignment wrapText="1"/>
    </xf>
    <xf numFmtId="0" fontId="3" fillId="4" borderId="3" applyAlignment="1" pivotButton="0" quotePrefix="0" xfId="0">
      <alignment horizontal="center"/>
    </xf>
    <xf numFmtId="0" fontId="0" fillId="0" borderId="5" pivotButton="0" quotePrefix="0" xfId="0"/>
    <xf numFmtId="0" fontId="0" fillId="0" borderId="6" pivotButton="0" quotePrefix="0" xfId="0"/>
    <xf numFmtId="0" fontId="3" fillId="2" borderId="3" applyAlignment="1" pivotButton="0" quotePrefix="0" xfId="0">
      <alignment horizontal="center" vertical="center" wrapText="1"/>
    </xf>
    <xf numFmtId="0" fontId="3" fillId="0" borderId="3" applyAlignment="1" pivotButton="0" quotePrefix="0" xfId="0">
      <alignment horizontal="left" vertical="center"/>
    </xf>
    <xf numFmtId="0" fontId="3" fillId="2" borderId="3" applyAlignment="1" pivotButton="0" quotePrefix="0" xfId="0">
      <alignment horizontal="center" vertical="center"/>
    </xf>
    <xf numFmtId="0" fontId="3" fillId="3" borderId="2" applyAlignment="1" pivotButton="0" quotePrefix="0" xfId="0">
      <alignment horizontal="center" vertical="center" wrapText="1"/>
    </xf>
    <xf numFmtId="0" fontId="0" fillId="0" borderId="2" pivotButton="0" quotePrefix="0" xfId="0"/>
    <xf numFmtId="0" fontId="0" fillId="0" borderId="3" applyAlignment="1" pivotButton="0" quotePrefix="0" xfId="0">
      <alignment horizontal="left" vertical="center" wrapText="1"/>
    </xf>
    <xf numFmtId="0" fontId="0" fillId="0" borderId="8" pivotButton="0" quotePrefix="0" xfId="0"/>
    <xf numFmtId="0" fontId="0" fillId="0" borderId="12" pivotButton="0" quotePrefix="0" xfId="0"/>
    <xf numFmtId="0" fontId="0" fillId="0" borderId="3" applyAlignment="1" pivotButton="0" quotePrefix="0" xfId="0">
      <alignment horizontal="center" vertical="center" wrapText="1"/>
    </xf>
    <xf numFmtId="0" fontId="0" fillId="0" borderId="3" applyAlignment="1" pivotButton="0" quotePrefix="0" xfId="0">
      <alignment horizontal="center" vertical="center"/>
    </xf>
    <xf numFmtId="0" fontId="0" fillId="0" borderId="3" applyAlignment="1" pivotButton="0" quotePrefix="0" xfId="0">
      <alignment horizontal="left" wrapText="1"/>
    </xf>
    <xf numFmtId="0" fontId="0" fillId="0" borderId="7" applyAlignment="1" pivotButton="0" quotePrefix="0" xfId="0">
      <alignment horizontal="center" vertical="center" wrapText="1"/>
    </xf>
    <xf numFmtId="0" fontId="11" fillId="0" borderId="15" applyAlignment="1" pivotButton="0" quotePrefix="0" xfId="0">
      <alignment horizontal="center" vertical="center"/>
    </xf>
    <xf numFmtId="0" fontId="0" fillId="0" borderId="24" pivotButton="0" quotePrefix="0" xfId="0"/>
    <xf numFmtId="0" fontId="0" fillId="9" borderId="0" applyAlignment="1" pivotButton="0" quotePrefix="0" xfId="0">
      <alignment horizontal="center"/>
    </xf>
    <xf numFmtId="0" fontId="0" fillId="0" borderId="0" pivotButton="0" quotePrefix="0" xfId="0"/>
    <xf numFmtId="0" fontId="4" fillId="0" borderId="3" applyAlignment="1" pivotButton="0" quotePrefix="0" xfId="0">
      <alignment horizontal="left" vertical="center" wrapText="1"/>
    </xf>
    <xf numFmtId="0" fontId="9" fillId="11" borderId="14" applyAlignment="1" pivotButton="0" quotePrefix="0" xfId="0">
      <alignment horizontal="center" vertical="center"/>
    </xf>
    <xf numFmtId="0" fontId="0" fillId="0" borderId="18" pivotButton="0" quotePrefix="0" xfId="0"/>
    <xf numFmtId="0" fontId="0" fillId="0" borderId="19" pivotButton="0" quotePrefix="0" xfId="0"/>
    <xf numFmtId="0" fontId="0" fillId="9" borderId="1" applyAlignment="1" pivotButton="0" quotePrefix="0" xfId="0">
      <alignment horizontal="center"/>
    </xf>
    <xf numFmtId="0" fontId="0" fillId="0" borderId="1" pivotButton="0" quotePrefix="0" xfId="0"/>
    <xf numFmtId="2" fontId="9" fillId="8" borderId="14" applyAlignment="1" pivotButton="0" quotePrefix="0" xfId="0">
      <alignment horizontal="center" vertical="center"/>
    </xf>
    <xf numFmtId="0" fontId="9" fillId="3" borderId="9" applyAlignment="1" pivotButton="0" quotePrefix="0" xfId="0">
      <alignment horizontal="center" vertical="center"/>
    </xf>
    <xf numFmtId="0" fontId="0" fillId="0" borderId="28" pivotButton="0" quotePrefix="0" xfId="0"/>
    <xf numFmtId="0" fontId="0" fillId="0" borderId="25" pivotButton="0" quotePrefix="0" xfId="0"/>
    <xf numFmtId="0" fontId="0" fillId="0" borderId="29" pivotButton="0" quotePrefix="0" xfId="0"/>
    <xf numFmtId="0" fontId="0" fillId="0" borderId="30" pivotButton="0" quotePrefix="0" xfId="0"/>
    <xf numFmtId="0" fontId="0" fillId="0" borderId="31" pivotButton="0" quotePrefix="0" xfId="0"/>
    <xf numFmtId="0" fontId="9" fillId="10" borderId="14" applyAlignment="1" pivotButton="0" quotePrefix="0" xfId="0">
      <alignment horizontal="center" vertical="center"/>
    </xf>
    <xf numFmtId="0" fontId="0" fillId="0" borderId="26" pivotButton="0" quotePrefix="0" xfId="0"/>
    <xf numFmtId="0" fontId="0" fillId="0" borderId="27" pivotButton="0" quotePrefix="0" xfId="0"/>
    <xf numFmtId="0" fontId="9" fillId="8" borderId="14" applyAlignment="1" pivotButton="0" quotePrefix="0" xfId="0">
      <alignment horizontal="center" vertical="center"/>
    </xf>
    <xf numFmtId="0" fontId="0" fillId="9" borderId="2" applyAlignment="1" pivotButton="0" quotePrefix="0" xfId="0">
      <alignment horizontal="center"/>
    </xf>
    <xf numFmtId="49" fontId="11" fillId="0" borderId="15" applyAlignment="1" pivotButton="0" quotePrefix="0" xfId="0">
      <alignment horizontal="center" vertical="center"/>
    </xf>
    <xf numFmtId="0" fontId="0" fillId="0" borderId="3" applyAlignment="1" pivotButton="0" quotePrefix="0" xfId="0">
      <alignment horizontal="center" wrapText="1"/>
    </xf>
    <xf numFmtId="0" fontId="6" fillId="0" borderId="3" applyAlignment="1" pivotButton="0" quotePrefix="0" xfId="0">
      <alignment horizontal="left" vertical="center" wrapText="1"/>
    </xf>
    <xf numFmtId="0" fontId="3" fillId="0" borderId="3" applyAlignment="1" pivotButton="0" quotePrefix="0" xfId="0">
      <alignment horizontal="center" vertical="center" wrapText="1"/>
    </xf>
    <xf numFmtId="0" fontId="9" fillId="3" borderId="14" applyAlignment="1" pivotButton="0" quotePrefix="0" xfId="0">
      <alignment horizontal="center" vertical="center"/>
    </xf>
    <xf numFmtId="0" fontId="6" fillId="0" borderId="3" applyAlignment="1" pivotButton="0" quotePrefix="0" xfId="0">
      <alignment horizontal="center" vertical="center" wrapText="1"/>
    </xf>
    <xf numFmtId="0" fontId="6" fillId="6" borderId="3" applyAlignment="1" pivotButton="0" quotePrefix="0" xfId="0">
      <alignment horizontal="left" vertical="center" wrapText="1"/>
    </xf>
    <xf numFmtId="0" fontId="0" fillId="6" borderId="3" applyAlignment="1" pivotButton="0" quotePrefix="0" xfId="0">
      <alignment horizontal="left" vertical="center" wrapText="1"/>
    </xf>
    <xf numFmtId="0" fontId="0" fillId="6" borderId="3" applyAlignment="1" pivotButton="0" quotePrefix="0" xfId="0">
      <alignment vertical="center" wrapText="1"/>
    </xf>
    <xf numFmtId="0" fontId="0" fillId="6" borderId="3" applyAlignment="1" pivotButton="0" quotePrefix="0" xfId="0">
      <alignment horizontal="center" vertical="center" wrapText="1"/>
    </xf>
    <xf numFmtId="0" fontId="6" fillId="6" borderId="3" applyAlignment="1" pivotButton="0" quotePrefix="0" xfId="0">
      <alignment horizontal="center" vertical="center" wrapText="1"/>
    </xf>
    <xf numFmtId="0" fontId="3" fillId="6" borderId="3" applyAlignment="1" pivotButton="0" quotePrefix="0" xfId="0">
      <alignment horizontal="center" vertical="center" wrapText="1"/>
    </xf>
  </cellXfs>
  <cellStyles count="1">
    <cellStyle name="Normal" xfId="0" builtinId="0"/>
  </cellStyles>
  <dxfs count="51">
    <dxf>
      <font>
        <color rgb="FF006100"/>
      </font>
      <fill>
        <patternFill>
          <bgColor rgb="FFC6EFCE"/>
        </patternFill>
      </fill>
    </dxf>
    <dxf>
      <font>
        <color rgb="FF9C0006"/>
      </font>
      <fill>
        <patternFill>
          <bgColor rgb="FFFFC7CE"/>
        </patternFill>
      </fill>
    </dxf>
    <dxf>
      <font>
        <color theme="2" tint="-0.499984740745262"/>
      </font>
    </dxf>
    <dxf>
      <font>
        <b val="1"/>
        <i val="1"/>
        <color theme="2" tint="-0.499984740745262"/>
        <u val="double"/>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b val="1"/>
      </font>
    </dxf>
    <dxf>
      <font>
        <color rgb="FF006100"/>
      </font>
      <fill>
        <patternFill>
          <bgColor rgb="FFC6EFCE"/>
        </patternFill>
      </fill>
    </dxf>
    <dxf>
      <font>
        <color rgb="FF9C0006"/>
      </font>
      <fill>
        <patternFill>
          <bgColor rgb="FFFFC7CE"/>
        </patternFill>
      </fill>
    </dxf>
    <dxf>
      <font>
        <color theme="2" tint="-0.499984740745262"/>
      </font>
    </dxf>
    <dxf>
      <font>
        <b val="1"/>
        <i val="1"/>
        <color theme="2" tint="-0.499984740745262"/>
        <u val="double"/>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b val="1"/>
      </font>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b val="1"/>
      </font>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b val="1"/>
      </font>
    </dxf>
    <dxf>
      <font>
        <color rgb="FF006100"/>
      </font>
      <fill>
        <patternFill>
          <bgColor rgb="FFC6EFCE"/>
        </patternFill>
      </fill>
    </dxf>
    <dxf>
      <font>
        <color rgb="FF9C0006"/>
      </font>
      <fill>
        <patternFill>
          <bgColor rgb="FFFFC7CE"/>
        </patternFill>
      </fill>
    </dxf>
    <dxf>
      <font>
        <color theme="2" tint="-0.499984740745262"/>
      </font>
    </dxf>
    <dxf>
      <font>
        <b val="1"/>
        <i val="1"/>
        <color theme="2" tint="-0.499984740745262"/>
        <u val="double"/>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b val="1"/>
      </font>
    </dxf>
    <dxf>
      <font>
        <color rgb="FF006100"/>
      </font>
      <fill>
        <patternFill>
          <bgColor rgb="FFC6EFCE"/>
        </patternFill>
      </fill>
    </dxf>
    <dxf>
      <font>
        <color rgb="FF9C0006"/>
      </font>
      <fill>
        <patternFill>
          <bgColor rgb="FFFFC7CE"/>
        </patternFill>
      </fill>
    </dxf>
    <dxf>
      <font>
        <color theme="2" tint="-0.499984740745262"/>
      </font>
    </dxf>
    <dxf>
      <font>
        <b val="1"/>
        <i val="1"/>
        <color theme="2" tint="-0.499984740745262"/>
        <u val="double"/>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b val="1"/>
      </font>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color rgb="FF006100"/>
      </font>
      <fill>
        <patternFill>
          <bgColor rgb="FFC6EFCE"/>
        </patternFill>
      </fill>
    </dxf>
    <dxf>
      <font>
        <color rgb="FF9C0006"/>
      </font>
      <fill>
        <patternFill>
          <bgColor rgb="FFFFC7CE"/>
        </patternFill>
      </fill>
    </dxf>
    <dxf>
      <font>
        <color theme="2" tint="-0.499984740745262"/>
      </font>
    </dxf>
    <dxf>
      <font>
        <b val="1"/>
        <i val="1"/>
        <color theme="2" tint="-0.499984740745262"/>
        <u val="double"/>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color rgb="FF006100"/>
      </font>
      <fill>
        <patternFill>
          <bgColor rgb="FFC6EFCE"/>
        </patternFill>
      </fill>
    </dxf>
    <dxf>
      <font>
        <color rgb="FF9C0006"/>
      </font>
      <fill>
        <patternFill>
          <bgColor rgb="FFFFC7CE"/>
        </patternFill>
      </fill>
    </dxf>
    <dxf>
      <font>
        <color theme="2" tint="-0.499984740745262"/>
      </font>
    </dxf>
    <dxf>
      <font>
        <b val="1"/>
        <i val="1"/>
        <color theme="2" tint="-0.499984740745262"/>
        <u val="double"/>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
        </patternFill>
      </fill>
      <border>
        <left/>
        <right/>
        <top/>
        <bottom/>
        <vertical/>
        <horizontal/>
      </border>
    </dxf>
    <dxf>
      <font>
        <b val="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AE26"/>
  <sheetViews>
    <sheetView zoomScale="95" zoomScaleNormal="95" workbookViewId="0">
      <selection activeCell="K25" sqref="K25"/>
    </sheetView>
  </sheetViews>
  <sheetFormatPr baseColWidth="10" defaultColWidth="11.44140625" defaultRowHeight="14.4"/>
  <cols>
    <col width="19.33203125" customWidth="1" style="158" min="3" max="3"/>
    <col width="17.6640625" customWidth="1" style="158" min="4" max="4"/>
    <col width="16.77734375" customWidth="1" style="158" min="5" max="5"/>
    <col width="16.77734375" customWidth="1" style="158" min="10" max="10"/>
    <col width="22.21875" customWidth="1" style="158" min="11" max="11"/>
    <col width="16.5546875" customWidth="1" style="158" min="12" max="12"/>
    <col width="13.21875" customWidth="1" style="158" min="13" max="13"/>
    <col width="13.44140625" customWidth="1" style="158" min="15" max="15"/>
    <col width="14.77734375" customWidth="1" style="158" min="16" max="16"/>
    <col width="6.77734375" customWidth="1" style="158" min="18" max="18"/>
    <col width="11.44140625" customWidth="1" style="77" min="20" max="20"/>
    <col width="11.44140625" customWidth="1" style="75" min="21" max="21"/>
    <col width="11.44140625" customWidth="1" style="158" min="28" max="28"/>
  </cols>
  <sheetData>
    <row r="1">
      <c r="A1" s="109" t="n"/>
      <c r="B1" s="109" t="n"/>
      <c r="C1" s="109" t="n"/>
      <c r="D1" s="109" t="n"/>
      <c r="E1" s="109" t="n"/>
      <c r="F1" s="109" t="n"/>
      <c r="G1" s="109" t="n"/>
      <c r="H1" s="109" t="n"/>
      <c r="I1" s="109" t="n"/>
      <c r="J1" s="109" t="n"/>
      <c r="K1" s="109" t="n"/>
      <c r="L1" s="109" t="n"/>
      <c r="M1" s="109" t="n"/>
      <c r="N1" s="109" t="n"/>
      <c r="O1" s="109" t="n"/>
      <c r="P1" s="109" t="n"/>
      <c r="Q1" s="109" t="n"/>
      <c r="R1" s="109" t="n"/>
      <c r="S1" s="109" t="n"/>
      <c r="T1" s="79" t="inlineStr">
        <is>
          <t>DOMAINE</t>
        </is>
      </c>
      <c r="U1" s="79" t="inlineStr">
        <is>
          <t>POID</t>
        </is>
      </c>
      <c r="V1" s="79" t="inlineStr">
        <is>
          <t>DOMAINE</t>
        </is>
      </c>
      <c r="W1" s="79" t="inlineStr">
        <is>
          <t>POID</t>
        </is>
      </c>
      <c r="X1" s="79" t="inlineStr">
        <is>
          <t>DOMAINE</t>
        </is>
      </c>
      <c r="Y1" s="79" t="inlineStr">
        <is>
          <t>POID</t>
        </is>
      </c>
      <c r="Z1" s="79" t="inlineStr">
        <is>
          <t>DOMAINE</t>
        </is>
      </c>
      <c r="AA1" s="79" t="inlineStr">
        <is>
          <t>POID</t>
        </is>
      </c>
      <c r="AB1" s="79" t="inlineStr">
        <is>
          <t>DOMAINE</t>
        </is>
      </c>
      <c r="AC1" s="79" t="inlineStr">
        <is>
          <t>POID</t>
        </is>
      </c>
      <c r="AD1" s="79" t="inlineStr">
        <is>
          <t>DOMAINE</t>
        </is>
      </c>
      <c r="AE1" s="79" t="inlineStr">
        <is>
          <t>POID</t>
        </is>
      </c>
    </row>
    <row r="2" ht="15.6" customHeight="1" s="158">
      <c r="B2" s="3" t="n"/>
      <c r="C2" s="3" t="n"/>
      <c r="D2" s="3" t="n"/>
      <c r="E2" s="3" t="n"/>
      <c r="F2" s="3" t="n"/>
      <c r="G2" s="3" t="n"/>
      <c r="H2" s="3" t="n"/>
      <c r="I2" s="3" t="n"/>
      <c r="J2" s="3" t="n"/>
      <c r="K2" s="3" t="n"/>
      <c r="L2" s="3" t="n"/>
      <c r="M2" s="3" t="n"/>
      <c r="N2" s="3" t="n"/>
      <c r="O2" s="3" t="n"/>
      <c r="P2" s="3" t="n"/>
      <c r="Q2" s="3" t="n"/>
      <c r="R2" s="3" t="n"/>
      <c r="T2" s="79" t="inlineStr">
        <is>
          <t>GOV</t>
        </is>
      </c>
      <c r="U2" s="65" t="n">
        <v>23</v>
      </c>
      <c r="V2" s="79" t="inlineStr">
        <is>
          <t>INC</t>
        </is>
      </c>
      <c r="W2" s="65" t="n">
        <v>12</v>
      </c>
      <c r="X2" s="79" t="inlineStr">
        <is>
          <t>CRI</t>
        </is>
      </c>
      <c r="Y2" s="65" t="n">
        <v>35</v>
      </c>
      <c r="Z2" s="79" t="inlineStr">
        <is>
          <t>CONT</t>
        </is>
      </c>
      <c r="AA2" s="65" t="n">
        <v>23</v>
      </c>
      <c r="AB2" s="79" t="inlineStr">
        <is>
          <t>FOR</t>
        </is>
      </c>
      <c r="AC2" s="65" t="n">
        <v>3</v>
      </c>
      <c r="AD2" s="79" t="inlineStr">
        <is>
          <t>CONF</t>
        </is>
      </c>
      <c r="AE2" s="65" t="n">
        <v>4</v>
      </c>
    </row>
    <row r="3" ht="28.8" customHeight="1" s="158">
      <c r="A3" s="109" t="n"/>
      <c r="B3" s="3" t="n"/>
      <c r="C3" s="145" t="inlineStr">
        <is>
          <t>AHP</t>
        </is>
      </c>
      <c r="D3" s="141" t="n"/>
      <c r="E3" s="141" t="n"/>
      <c r="F3" s="141" t="n"/>
      <c r="G3" s="141" t="n"/>
      <c r="H3" s="141" t="n"/>
      <c r="I3" s="142" t="n"/>
      <c r="J3" s="33" t="n"/>
      <c r="K3" s="145" t="inlineStr">
        <is>
          <t>Echelle</t>
        </is>
      </c>
      <c r="L3" s="142" t="n"/>
      <c r="M3" s="33" t="n"/>
      <c r="N3" s="31" t="inlineStr">
        <is>
          <t>Domaine</t>
        </is>
      </c>
      <c r="O3" s="32" t="inlineStr">
        <is>
          <t>Nb Questions / Domaine</t>
        </is>
      </c>
      <c r="P3" s="31" t="inlineStr">
        <is>
          <t>Arrondissement</t>
        </is>
      </c>
      <c r="Q3" s="31" t="inlineStr">
        <is>
          <t>Real</t>
        </is>
      </c>
      <c r="R3" s="3" t="n"/>
    </row>
    <row r="4">
      <c r="A4" s="109" t="n"/>
      <c r="B4" s="3" t="n"/>
      <c r="C4" s="19" t="n"/>
      <c r="D4" s="180" t="inlineStr">
        <is>
          <t>GOV</t>
        </is>
      </c>
      <c r="E4" s="180" t="inlineStr">
        <is>
          <t>INC</t>
        </is>
      </c>
      <c r="F4" s="180" t="inlineStr">
        <is>
          <t>CRI</t>
        </is>
      </c>
      <c r="G4" s="180" t="inlineStr">
        <is>
          <t>CONT</t>
        </is>
      </c>
      <c r="H4" s="180" t="inlineStr">
        <is>
          <t>FOR</t>
        </is>
      </c>
      <c r="I4" s="180" t="inlineStr">
        <is>
          <t>CONF</t>
        </is>
      </c>
      <c r="J4" s="15" t="n"/>
      <c r="K4" s="144" t="inlineStr">
        <is>
          <t>1 : importance égale</t>
        </is>
      </c>
      <c r="L4" s="142" t="n"/>
      <c r="M4" s="3" t="n"/>
      <c r="N4" s="50" t="inlineStr">
        <is>
          <t>GOV</t>
        </is>
      </c>
      <c r="O4" s="51">
        <f>(72/100)*L16</f>
        <v/>
      </c>
      <c r="P4" s="52" t="n">
        <v>18</v>
      </c>
      <c r="Q4" s="52" t="n">
        <v>18</v>
      </c>
      <c r="R4" s="3" t="n"/>
      <c r="S4" s="109" t="n"/>
    </row>
    <row r="5">
      <c r="A5" s="109" t="n"/>
      <c r="B5" s="3" t="n"/>
      <c r="C5" s="180" t="inlineStr">
        <is>
          <t>GOV</t>
        </is>
      </c>
      <c r="D5" s="11" t="n">
        <v>1</v>
      </c>
      <c r="E5" s="11" t="n">
        <v>4</v>
      </c>
      <c r="F5" s="11" t="n">
        <v>0.75</v>
      </c>
      <c r="G5" s="11" t="n">
        <v>1</v>
      </c>
      <c r="H5" s="12" t="n">
        <v>5</v>
      </c>
      <c r="I5" s="12" t="n">
        <v>4</v>
      </c>
      <c r="J5" s="16" t="n"/>
      <c r="K5" s="144" t="inlineStr">
        <is>
          <t>3 : importance modérée</t>
        </is>
      </c>
      <c r="L5" s="142" t="n"/>
      <c r="M5" s="3" t="n"/>
      <c r="N5" s="50" t="inlineStr">
        <is>
          <t>INC</t>
        </is>
      </c>
      <c r="O5" s="51">
        <f>(72/100)*L17</f>
        <v/>
      </c>
      <c r="P5" s="52" t="n">
        <v>17</v>
      </c>
      <c r="Q5" s="52" t="n">
        <v>17</v>
      </c>
      <c r="R5" s="3" t="n"/>
      <c r="S5" s="109" t="n"/>
    </row>
    <row r="6">
      <c r="A6" s="109" t="n"/>
      <c r="B6" s="3" t="n"/>
      <c r="C6" s="180" t="inlineStr">
        <is>
          <t>INC</t>
        </is>
      </c>
      <c r="D6" s="11" t="n">
        <v>0.25</v>
      </c>
      <c r="E6" s="11" t="n">
        <v>1</v>
      </c>
      <c r="F6" s="11" t="n">
        <v>0.6666666666666666</v>
      </c>
      <c r="G6" s="11" t="n">
        <v>0.25</v>
      </c>
      <c r="H6" s="12" t="n">
        <v>4</v>
      </c>
      <c r="I6" s="12" t="n">
        <v>3</v>
      </c>
      <c r="J6" s="16" t="n"/>
      <c r="K6" s="144" t="inlineStr">
        <is>
          <t>5 : importance forte</t>
        </is>
      </c>
      <c r="L6" s="142" t="n"/>
      <c r="M6" s="3" t="n"/>
      <c r="N6" s="50" t="inlineStr">
        <is>
          <t>CRI</t>
        </is>
      </c>
      <c r="O6" s="51">
        <f>(72/100)*L18</f>
        <v/>
      </c>
      <c r="P6" s="52" t="n">
        <v>20</v>
      </c>
      <c r="Q6" s="52" t="n">
        <v>22</v>
      </c>
      <c r="R6" s="3" t="n"/>
      <c r="S6" s="109" t="n"/>
    </row>
    <row r="7" ht="15.6" customHeight="1" s="158">
      <c r="A7" s="109" t="n"/>
      <c r="B7" s="3" t="n"/>
      <c r="C7" s="180" t="inlineStr">
        <is>
          <t>CRI</t>
        </is>
      </c>
      <c r="D7" s="11" t="n">
        <v>4</v>
      </c>
      <c r="E7" s="11" t="n">
        <v>1.5</v>
      </c>
      <c r="F7" s="11" t="n">
        <v>1</v>
      </c>
      <c r="G7" s="11" t="n">
        <v>2</v>
      </c>
      <c r="H7" s="12" t="n">
        <v>7</v>
      </c>
      <c r="I7" s="12" t="n">
        <v>6</v>
      </c>
      <c r="J7" s="16" t="n"/>
      <c r="K7" s="144" t="inlineStr">
        <is>
          <t>7 : importance très forte</t>
        </is>
      </c>
      <c r="L7" s="142" t="n"/>
      <c r="M7" s="3" t="n"/>
      <c r="N7" s="50" t="inlineStr">
        <is>
          <t>CONT</t>
        </is>
      </c>
      <c r="O7" s="51">
        <f>(72/100)*L19</f>
        <v/>
      </c>
      <c r="P7" s="52" t="n">
        <v>11</v>
      </c>
      <c r="Q7" s="52" t="n">
        <v>11</v>
      </c>
      <c r="R7" s="3" t="n"/>
      <c r="S7" s="109" t="n"/>
      <c r="T7" s="80" t="n"/>
      <c r="U7" s="81" t="n"/>
    </row>
    <row r="8">
      <c r="A8" s="109" t="n"/>
      <c r="B8" s="3" t="n"/>
      <c r="C8" s="180" t="inlineStr">
        <is>
          <t>CONT</t>
        </is>
      </c>
      <c r="D8" s="11" t="n">
        <v>1</v>
      </c>
      <c r="E8" s="11" t="n">
        <v>4</v>
      </c>
      <c r="F8" s="11" t="n">
        <v>0.5</v>
      </c>
      <c r="G8" s="11" t="n">
        <v>1</v>
      </c>
      <c r="H8" s="12" t="n">
        <v>6</v>
      </c>
      <c r="I8" s="12" t="n">
        <v>5</v>
      </c>
      <c r="J8" s="16" t="n"/>
      <c r="K8" s="144" t="inlineStr">
        <is>
          <t>9 : importance extrême</t>
        </is>
      </c>
      <c r="L8" s="142" t="n"/>
      <c r="M8" s="3" t="n"/>
      <c r="N8" s="50" t="inlineStr">
        <is>
          <t>FOR</t>
        </is>
      </c>
      <c r="O8" s="51">
        <f>(72/100)*L20</f>
        <v/>
      </c>
      <c r="P8" s="52" t="n">
        <v>3</v>
      </c>
      <c r="Q8" s="52" t="n">
        <v>3</v>
      </c>
      <c r="R8" s="3" t="n"/>
      <c r="S8" s="109" t="n"/>
    </row>
    <row r="9">
      <c r="A9" s="109" t="n"/>
      <c r="B9" s="3" t="n"/>
      <c r="C9" s="180" t="inlineStr">
        <is>
          <t>FOR</t>
        </is>
      </c>
      <c r="D9" s="12" t="n">
        <v>0.2</v>
      </c>
      <c r="E9" s="12" t="n">
        <v>0.25</v>
      </c>
      <c r="F9" s="12" t="n">
        <v>0.1428571428571428</v>
      </c>
      <c r="G9" s="12" t="n">
        <v>0.1666666666666667</v>
      </c>
      <c r="H9" s="12" t="n">
        <v>1</v>
      </c>
      <c r="I9" s="12" t="n">
        <v>0.6666666666666666</v>
      </c>
      <c r="J9" s="16" t="n"/>
      <c r="K9" s="144" t="inlineStr">
        <is>
          <t>2, 4, 6, 8 : valeurs intermédiaires</t>
        </is>
      </c>
      <c r="L9" s="142" t="n"/>
      <c r="M9" s="3" t="n"/>
      <c r="N9" s="50" t="inlineStr">
        <is>
          <t>CONF</t>
        </is>
      </c>
      <c r="O9" s="51">
        <f>(72/100)*L21</f>
        <v/>
      </c>
      <c r="P9" s="52" t="n">
        <v>3</v>
      </c>
      <c r="Q9" s="52" t="n">
        <v>4</v>
      </c>
      <c r="R9" s="3" t="n"/>
      <c r="S9" s="109" t="n"/>
    </row>
    <row r="10" ht="28.8" customHeight="1" s="158">
      <c r="A10" s="109" t="n"/>
      <c r="B10" s="3" t="n"/>
      <c r="C10" s="180" t="inlineStr">
        <is>
          <t>CONF</t>
        </is>
      </c>
      <c r="D10" s="12" t="n">
        <v>0.25</v>
      </c>
      <c r="E10" s="12" t="n">
        <v>0.3333333333333333</v>
      </c>
      <c r="F10" s="12" t="n">
        <v>0.1666666666666667</v>
      </c>
      <c r="G10" s="12" t="n">
        <v>0.2</v>
      </c>
      <c r="H10" s="12" t="n">
        <v>1.5</v>
      </c>
      <c r="I10" s="12" t="n">
        <v>1</v>
      </c>
      <c r="J10" s="16" t="n"/>
      <c r="K10" s="16" t="n"/>
      <c r="L10" s="16" t="n"/>
      <c r="M10" s="3" t="n"/>
      <c r="N10" s="7" t="inlineStr">
        <is>
          <t>Nombre De Question</t>
        </is>
      </c>
      <c r="O10" s="5">
        <f>SUM(O4:O9)</f>
        <v/>
      </c>
      <c r="P10" s="34">
        <f>SUM(P4:P9)</f>
        <v/>
      </c>
      <c r="Q10" s="34">
        <f>SUM(Q4:Q9)</f>
        <v/>
      </c>
      <c r="R10" s="3" t="n"/>
      <c r="S10" s="109" t="n"/>
    </row>
    <row r="11">
      <c r="A11" s="109" t="n"/>
      <c r="B11" s="3" t="n"/>
      <c r="C11" s="180" t="inlineStr">
        <is>
          <t>SOMME</t>
        </is>
      </c>
      <c r="D11" s="14">
        <f>SUM(D5:D10)</f>
        <v/>
      </c>
      <c r="E11" s="14">
        <f>SUM(E5:E10)</f>
        <v/>
      </c>
      <c r="F11" s="14">
        <f>SUM(F5:F10)</f>
        <v/>
      </c>
      <c r="G11" s="14">
        <f>SUM(G5:G10)</f>
        <v/>
      </c>
      <c r="H11" s="14">
        <f>SUM(H5:H10)</f>
        <v/>
      </c>
      <c r="I11" s="14">
        <f>SUM(I5:I10)</f>
        <v/>
      </c>
      <c r="J11" s="17" t="n"/>
      <c r="K11" s="3" t="n"/>
      <c r="L11" s="3" t="n"/>
      <c r="M11" s="3" t="n"/>
      <c r="N11" s="3" t="n"/>
      <c r="O11" s="3" t="n"/>
      <c r="P11" s="3" t="n"/>
      <c r="Q11" s="3" t="n"/>
      <c r="R11" s="3" t="n"/>
      <c r="S11" s="109" t="n"/>
    </row>
    <row r="12">
      <c r="A12" s="109" t="n"/>
      <c r="B12" s="3" t="n"/>
      <c r="C12" s="146" t="n"/>
      <c r="D12" s="147" t="n"/>
      <c r="E12" s="147" t="n"/>
      <c r="F12" s="147" t="n"/>
      <c r="G12" s="147" t="n"/>
      <c r="H12" s="147" t="n"/>
      <c r="I12" s="147" t="n"/>
      <c r="J12" s="147" t="n"/>
      <c r="K12" s="147" t="n"/>
      <c r="L12" s="3" t="n"/>
      <c r="M12" s="18" t="n"/>
      <c r="S12" s="109" t="n"/>
    </row>
    <row r="13" ht="14.55" customHeight="1" s="158">
      <c r="A13" s="109" t="n"/>
      <c r="B13" s="3" t="n"/>
      <c r="C13" s="143" t="inlineStr">
        <is>
          <t>NORMALISER : Méthode approchée par normalisation des colonnes</t>
        </is>
      </c>
      <c r="D13" s="141" t="n"/>
      <c r="E13" s="141" t="n"/>
      <c r="F13" s="141" t="n"/>
      <c r="G13" s="141" t="n"/>
      <c r="H13" s="141" t="n"/>
      <c r="I13" s="141" t="n"/>
      <c r="J13" s="141" t="n"/>
      <c r="K13" s="141" t="n"/>
      <c r="L13" s="142" t="n"/>
      <c r="M13" s="18" t="n"/>
      <c r="S13" s="109" t="n"/>
    </row>
    <row r="14" ht="15.6" customHeight="1" s="158">
      <c r="A14" s="109" t="n"/>
      <c r="B14" s="3" t="n"/>
      <c r="C14" s="140" t="inlineStr">
        <is>
          <t>Domaine</t>
        </is>
      </c>
      <c r="D14" s="141" t="n"/>
      <c r="E14" s="141" t="n"/>
      <c r="F14" s="141" t="n"/>
      <c r="G14" s="141" t="n"/>
      <c r="H14" s="141" t="n"/>
      <c r="I14" s="142" t="n"/>
      <c r="J14" s="140" t="inlineStr">
        <is>
          <t>PONDERATION</t>
        </is>
      </c>
      <c r="K14" s="142" t="n"/>
      <c r="L14" s="28" t="inlineStr">
        <is>
          <t>Arrondissement</t>
        </is>
      </c>
      <c r="M14" s="18" t="n"/>
      <c r="S14" s="109" t="n"/>
    </row>
    <row r="15" ht="15.6" customHeight="1" s="158">
      <c r="A15" s="109" t="n"/>
      <c r="B15" s="3" t="n"/>
      <c r="C15" s="27" t="n"/>
      <c r="D15" s="180" t="inlineStr">
        <is>
          <t>GOV</t>
        </is>
      </c>
      <c r="E15" s="180" t="inlineStr">
        <is>
          <t>INC</t>
        </is>
      </c>
      <c r="F15" s="180" t="inlineStr">
        <is>
          <t>CRI</t>
        </is>
      </c>
      <c r="G15" s="180" t="inlineStr">
        <is>
          <t>CONT</t>
        </is>
      </c>
      <c r="H15" s="180" t="inlineStr">
        <is>
          <t>FOR</t>
        </is>
      </c>
      <c r="I15" s="180" t="inlineStr">
        <is>
          <t>CONF</t>
        </is>
      </c>
      <c r="J15" s="180" t="inlineStr">
        <is>
          <t>Resultat</t>
        </is>
      </c>
      <c r="K15" s="180" t="inlineStr">
        <is>
          <t>%</t>
        </is>
      </c>
      <c r="L15" s="1" t="inlineStr">
        <is>
          <t>Final</t>
        </is>
      </c>
      <c r="M15" s="18" t="n"/>
      <c r="S15" s="109" t="n"/>
    </row>
    <row r="16" ht="15.6" customHeight="1" s="158">
      <c r="A16" s="109" t="n"/>
      <c r="B16" s="3" t="n"/>
      <c r="C16" s="180" t="inlineStr">
        <is>
          <t>GOV</t>
        </is>
      </c>
      <c r="D16" s="11">
        <f>D5/D11</f>
        <v/>
      </c>
      <c r="E16" s="11">
        <f>E5/E11</f>
        <v/>
      </c>
      <c r="F16" s="11">
        <f>F5/F11</f>
        <v/>
      </c>
      <c r="G16" s="11">
        <f>G5/G11</f>
        <v/>
      </c>
      <c r="H16" s="12">
        <f>H5/H11</f>
        <v/>
      </c>
      <c r="I16" s="12">
        <f>I5/I11</f>
        <v/>
      </c>
      <c r="J16" s="12">
        <f>SUM(D16:I16)/6</f>
        <v/>
      </c>
      <c r="K16" s="13">
        <f>J16*100</f>
        <v/>
      </c>
      <c r="L16" s="29" t="n">
        <v>26.5</v>
      </c>
      <c r="M16" s="3" t="n"/>
      <c r="S16" s="109" t="n"/>
    </row>
    <row r="17" ht="15.6" customHeight="1" s="158">
      <c r="A17" s="109" t="n"/>
      <c r="B17" s="3" t="n"/>
      <c r="C17" s="180" t="inlineStr">
        <is>
          <t>INC</t>
        </is>
      </c>
      <c r="D17" s="11">
        <f>D6/D11</f>
        <v/>
      </c>
      <c r="E17" s="11">
        <f>E6/E11</f>
        <v/>
      </c>
      <c r="F17" s="11">
        <f>F6/F11</f>
        <v/>
      </c>
      <c r="G17" s="11">
        <f>G6/G11</f>
        <v/>
      </c>
      <c r="H17" s="12">
        <f>H6/H11</f>
        <v/>
      </c>
      <c r="I17" s="12">
        <f>I6/I11</f>
        <v/>
      </c>
      <c r="J17" s="12">
        <f>SUM(D17:I17)/6</f>
        <v/>
      </c>
      <c r="K17" s="13">
        <f>J17*100</f>
        <v/>
      </c>
      <c r="L17" s="29" t="n">
        <v>18.5</v>
      </c>
      <c r="M17" s="3" t="n"/>
      <c r="S17" s="109" t="n"/>
    </row>
    <row r="18" ht="15.6" customHeight="1" s="158">
      <c r="A18" s="109" t="n"/>
      <c r="B18" s="3" t="n"/>
      <c r="C18" s="180" t="inlineStr">
        <is>
          <t>CRI</t>
        </is>
      </c>
      <c r="D18" s="11">
        <f>D7/D11</f>
        <v/>
      </c>
      <c r="E18" s="11">
        <f>E7/E11</f>
        <v/>
      </c>
      <c r="F18" s="11">
        <f>F7/F11</f>
        <v/>
      </c>
      <c r="G18" s="11">
        <f>G7/G11</f>
        <v/>
      </c>
      <c r="H18" s="12">
        <f>H7/H11</f>
        <v/>
      </c>
      <c r="I18" s="12">
        <f>I7/I11</f>
        <v/>
      </c>
      <c r="J18" s="12">
        <f>SUM(D18:I18)/6</f>
        <v/>
      </c>
      <c r="K18" s="13">
        <f>J18*100</f>
        <v/>
      </c>
      <c r="L18" s="29" t="n">
        <v>20</v>
      </c>
      <c r="M18" s="3" t="n"/>
      <c r="S18" s="109" t="n"/>
    </row>
    <row r="19" ht="15.6" customHeight="1" s="158">
      <c r="A19" s="109" t="n"/>
      <c r="B19" s="3" t="n"/>
      <c r="C19" s="180" t="inlineStr">
        <is>
          <t>CONT</t>
        </is>
      </c>
      <c r="D19" s="11">
        <f>D8/D11</f>
        <v/>
      </c>
      <c r="E19" s="11">
        <f>E8/E11</f>
        <v/>
      </c>
      <c r="F19" s="11">
        <f>F8/F11</f>
        <v/>
      </c>
      <c r="G19" s="11">
        <f>G8/G11</f>
        <v/>
      </c>
      <c r="H19" s="12">
        <f>H8/H11</f>
        <v/>
      </c>
      <c r="I19" s="12">
        <f>I8/I11</f>
        <v/>
      </c>
      <c r="J19" s="12">
        <f>SUM(D19:I19)/6</f>
        <v/>
      </c>
      <c r="K19" s="13">
        <f>J19*100</f>
        <v/>
      </c>
      <c r="L19" s="29" t="n">
        <v>23</v>
      </c>
      <c r="M19" s="3" t="n"/>
      <c r="S19" s="109" t="n"/>
    </row>
    <row r="20" ht="15.6" customHeight="1" s="158">
      <c r="A20" s="109" t="n"/>
      <c r="B20" s="3" t="n"/>
      <c r="C20" s="180" t="inlineStr">
        <is>
          <t>FOR</t>
        </is>
      </c>
      <c r="D20" s="11">
        <f>D9/D11</f>
        <v/>
      </c>
      <c r="E20" s="11">
        <f>E9/E11</f>
        <v/>
      </c>
      <c r="F20" s="11">
        <f>F9/F11</f>
        <v/>
      </c>
      <c r="G20" s="11">
        <f>G9/G11</f>
        <v/>
      </c>
      <c r="H20" s="12">
        <f>H9/H11</f>
        <v/>
      </c>
      <c r="I20" s="12">
        <f>I9/I11</f>
        <v/>
      </c>
      <c r="J20" s="12">
        <f>SUM(D20:I20)/6</f>
        <v/>
      </c>
      <c r="K20" s="13">
        <f>J20*100</f>
        <v/>
      </c>
      <c r="L20" s="29" t="n">
        <v>6</v>
      </c>
      <c r="M20" s="3" t="n"/>
      <c r="S20" s="109" t="n"/>
    </row>
    <row r="21" ht="15.6" customHeight="1" s="158">
      <c r="A21" s="109" t="n"/>
      <c r="B21" s="3" t="n"/>
      <c r="C21" s="180" t="inlineStr">
        <is>
          <t>CONF</t>
        </is>
      </c>
      <c r="D21" s="11">
        <f>D10/D11</f>
        <v/>
      </c>
      <c r="E21" s="11">
        <f>E10/E11</f>
        <v/>
      </c>
      <c r="F21" s="11">
        <f>F10/F11</f>
        <v/>
      </c>
      <c r="G21" s="11">
        <f>G10/G11</f>
        <v/>
      </c>
      <c r="H21" s="12">
        <f>H10/H11</f>
        <v/>
      </c>
      <c r="I21" s="12">
        <f>I10/I11</f>
        <v/>
      </c>
      <c r="J21" s="12">
        <f>SUM(D21:I21)/6</f>
        <v/>
      </c>
      <c r="K21" s="13">
        <f>J21*100</f>
        <v/>
      </c>
      <c r="L21" s="29" t="n">
        <v>6</v>
      </c>
      <c r="M21" s="3" t="n"/>
      <c r="S21" s="109" t="n"/>
    </row>
    <row r="22" ht="15.6" customHeight="1" s="158">
      <c r="A22" s="109" t="n"/>
      <c r="B22" s="3" t="n"/>
      <c r="C22" s="3" t="n"/>
      <c r="D22" s="3" t="n"/>
      <c r="E22" s="3" t="n"/>
      <c r="F22" s="3" t="n"/>
      <c r="G22" s="3" t="n"/>
      <c r="H22" s="3" t="n"/>
      <c r="I22" s="3" t="n"/>
      <c r="J22" s="3" t="n"/>
      <c r="K22" s="26">
        <f>SUM(K16:K21)</f>
        <v/>
      </c>
      <c r="L22" s="30">
        <f>SUM(L16:L21)</f>
        <v/>
      </c>
      <c r="M22" s="3" t="n"/>
      <c r="S22" s="109" t="n"/>
    </row>
    <row r="23">
      <c r="A23" s="109" t="n"/>
      <c r="B23" s="3" t="n"/>
      <c r="C23" s="15" t="n"/>
      <c r="D23" s="3" t="n"/>
      <c r="E23" s="3" t="n"/>
      <c r="F23" s="3" t="n"/>
      <c r="G23" s="3" t="n"/>
      <c r="H23" s="3" t="n"/>
      <c r="I23" s="3" t="n"/>
      <c r="J23" s="3" t="n"/>
      <c r="K23" s="3" t="n"/>
      <c r="L23" s="3" t="n"/>
      <c r="M23" s="3" t="n"/>
      <c r="S23" s="109" t="n"/>
    </row>
    <row r="24">
      <c r="A24" s="109" t="n"/>
      <c r="B24" s="109" t="n"/>
      <c r="C24" s="109" t="n"/>
      <c r="D24" s="109" t="n"/>
      <c r="E24" s="109" t="n"/>
      <c r="F24" s="109" t="n"/>
      <c r="G24" s="109" t="n"/>
      <c r="H24" s="109" t="n"/>
      <c r="I24" s="109" t="n"/>
      <c r="J24" s="109" t="n"/>
      <c r="K24" s="109" t="n"/>
      <c r="L24" s="109" t="n"/>
      <c r="M24" s="109" t="n"/>
      <c r="N24" s="109" t="n"/>
      <c r="O24" s="109" t="n"/>
      <c r="P24" s="109" t="n"/>
      <c r="Q24" s="109" t="n"/>
      <c r="R24" s="109" t="n"/>
      <c r="S24" s="109" t="n"/>
    </row>
    <row r="25">
      <c r="A25" s="109" t="n"/>
      <c r="B25" s="109" t="n"/>
      <c r="C25" s="109" t="n"/>
      <c r="D25" s="109" t="n"/>
      <c r="E25" s="109" t="n"/>
      <c r="F25" s="109" t="n"/>
      <c r="G25" s="109" t="n"/>
      <c r="H25" s="109" t="n"/>
      <c r="I25" s="109" t="n"/>
      <c r="J25" s="109" t="n"/>
      <c r="K25" s="109" t="n"/>
      <c r="L25" s="109" t="n"/>
      <c r="M25" s="109" t="n"/>
      <c r="N25" s="109" t="n"/>
      <c r="O25" s="109" t="n"/>
      <c r="P25" s="109" t="n"/>
      <c r="Q25" s="109" t="n"/>
      <c r="R25" s="109" t="n"/>
      <c r="S25" s="109" t="n"/>
    </row>
    <row r="26">
      <c r="A26" s="109" t="n"/>
      <c r="B26" s="109" t="n"/>
      <c r="C26" s="109" t="n"/>
      <c r="D26" s="109" t="n"/>
      <c r="E26" s="109" t="n"/>
      <c r="F26" s="109" t="n"/>
      <c r="G26" s="109" t="n"/>
      <c r="H26" s="109" t="n"/>
      <c r="I26" s="109" t="n"/>
      <c r="J26" s="109" t="n"/>
      <c r="K26" s="109" t="n"/>
      <c r="L26" s="109" t="n"/>
      <c r="M26" s="109" t="n"/>
      <c r="N26" s="109" t="n"/>
      <c r="O26" s="109" t="n"/>
      <c r="P26" s="109" t="n"/>
      <c r="Q26" s="109" t="n"/>
      <c r="R26" s="109" t="n"/>
    </row>
  </sheetData>
  <mergeCells count="12">
    <mergeCell ref="C14:I14"/>
    <mergeCell ref="C13:L13"/>
    <mergeCell ref="K7:L7"/>
    <mergeCell ref="K8:L8"/>
    <mergeCell ref="C3:I3"/>
    <mergeCell ref="K4:L4"/>
    <mergeCell ref="J14:K14"/>
    <mergeCell ref="K9:L9"/>
    <mergeCell ref="K5:L5"/>
    <mergeCell ref="K6:L6"/>
    <mergeCell ref="C12:K12"/>
    <mergeCell ref="K3:L3"/>
  </mergeCells>
  <pageMargins left="0.7" right="0.7" top="0.75" bottom="0.75" header="0.3" footer="0.3"/>
  <pageSetup orientation="portrait" paperSize="9"/>
</worksheet>
</file>

<file path=xl/worksheets/sheet2.xml><?xml version="1.0" encoding="utf-8"?>
<worksheet xmlns="http://schemas.openxmlformats.org/spreadsheetml/2006/main">
  <sheetPr>
    <tabColor theme="9" tint="-0.249977111117893"/>
    <outlinePr summaryBelow="1" summaryRight="1"/>
    <pageSetUpPr/>
  </sheetPr>
  <dimension ref="A1:U26"/>
  <sheetViews>
    <sheetView topLeftCell="O1" zoomScale="75" zoomScaleNormal="75" workbookViewId="0">
      <selection activeCell="J22" sqref="J22"/>
    </sheetView>
  </sheetViews>
  <sheetFormatPr baseColWidth="10" defaultRowHeight="14.4"/>
  <cols>
    <col width="27.21875" customWidth="1" style="158" min="2" max="2"/>
    <col width="19.5546875" customWidth="1" style="158" min="3" max="3"/>
    <col width="24.44140625" customWidth="1" style="158" min="4" max="4"/>
    <col width="27.21875" customWidth="1" style="158" min="5" max="5"/>
    <col width="36.21875" customWidth="1" style="158" min="6" max="6"/>
    <col width="34.21875" customWidth="1" style="158" min="7" max="7"/>
    <col width="48.77734375" customWidth="1" style="158" min="8" max="9"/>
    <col width="18.21875" customWidth="1" style="158" min="10" max="10"/>
    <col width="33" customWidth="1" style="158" min="12" max="12"/>
    <col width="19.5546875" customWidth="1" style="77" min="13" max="13"/>
    <col width="41.88671875" customWidth="1" style="158" min="14" max="14"/>
    <col width="21.5546875" customWidth="1" style="158" min="15" max="15"/>
    <col width="27.77734375" customWidth="1" style="158" min="16" max="17"/>
    <col width="27.33203125" customWidth="1" style="158" min="18" max="18"/>
    <col width="128" customWidth="1" style="158" min="21" max="21"/>
  </cols>
  <sheetData>
    <row r="1" ht="25.95" customHeight="1" s="158" thickBot="1">
      <c r="A1" s="109" t="n"/>
      <c r="B1" s="4" t="inlineStr">
        <is>
          <t>Domaine</t>
        </is>
      </c>
      <c r="C1" s="4" t="inlineStr">
        <is>
          <t>Sous Domaine</t>
        </is>
      </c>
      <c r="D1" s="4" t="inlineStr">
        <is>
          <t>Catégorie de contrôle</t>
        </is>
      </c>
      <c r="E1" s="4" t="inlineStr">
        <is>
          <t>Contrôle</t>
        </is>
      </c>
      <c r="F1" s="4" t="inlineStr">
        <is>
          <t>Objectif</t>
        </is>
      </c>
      <c r="G1" s="4" t="inlineStr">
        <is>
          <t>Preuves possibles</t>
        </is>
      </c>
      <c r="H1" s="4" t="inlineStr">
        <is>
          <t>Question finale</t>
        </is>
      </c>
      <c r="I1" s="43" t="inlineStr">
        <is>
          <t>Refernces</t>
        </is>
      </c>
      <c r="J1" s="43" t="inlineStr">
        <is>
          <t>Result</t>
        </is>
      </c>
      <c r="K1" s="109" t="n"/>
      <c r="L1" s="115" t="inlineStr">
        <is>
          <t>Score Du Domaine</t>
        </is>
      </c>
      <c r="M1" s="177" t="inlineStr">
        <is>
          <t>ATTRIBUTE</t>
        </is>
      </c>
      <c r="N1" s="76" t="inlineStr">
        <is>
          <t>VALUE</t>
        </is>
      </c>
    </row>
    <row r="2" ht="97.5" customHeight="1" s="158" thickBot="1">
      <c r="A2" s="109" t="n"/>
      <c r="B2" s="151" t="inlineStr">
        <is>
          <t>Gestion des incidents</t>
        </is>
      </c>
      <c r="C2" s="151" t="inlineStr">
        <is>
          <t>Détection et signalement</t>
        </is>
      </c>
      <c r="D2" s="151" t="inlineStr">
        <is>
          <t>Sources de détection</t>
        </is>
      </c>
      <c r="E2" s="9" t="inlineStr">
        <is>
          <t>Les sources de détection internes et externes sont-elles identifiées ?</t>
        </is>
      </c>
      <c r="F2" s="9" t="inlineStr">
        <is>
          <t>S’assurer que les sources de détection internes et externes sont identifiées afin de permettre une surveillance efficace et proactive des incidents.</t>
        </is>
      </c>
      <c r="G2" s="7" t="inlineStr">
        <is>
          <t>Liste des sources de détection ; documentation SOC/SIEM ; cartographie des alertes</t>
        </is>
      </c>
      <c r="H2" s="184" t="inlineStr">
        <is>
          <t>What technical resources and tools are implemented to support threat detection and monitoring?</t>
        </is>
      </c>
      <c r="I2" s="184" t="inlineStr">
        <is>
          <t>NIST 800-61r3 – DE.CM-01 / DE.CM-09
CSF 2.0 – DE.CM (Continuous Monitoring)
27002 – 8.15 / 8.16</t>
        </is>
      </c>
      <c r="J2" s="151" t="inlineStr">
        <is>
          <t>Yes</t>
        </is>
      </c>
      <c r="K2" s="109" t="n"/>
      <c r="L2" s="116">
        <f>N2/R2</f>
        <v/>
      </c>
      <c r="M2" s="76" t="inlineStr">
        <is>
          <t>Yes</t>
        </is>
      </c>
      <c r="N2" s="84">
        <f>COUNTIF(J2:J24,"Yes")</f>
        <v/>
      </c>
      <c r="O2" s="117" t="inlineStr">
        <is>
          <t>Nb Question</t>
        </is>
      </c>
      <c r="P2" s="82">
        <f>COUNTA(H2:H24)</f>
        <v/>
      </c>
      <c r="Q2" s="177" t="inlineStr">
        <is>
          <t>Nb Question App</t>
        </is>
      </c>
      <c r="R2" s="83">
        <f>P2-N4</f>
        <v/>
      </c>
      <c r="T2" s="152">
        <f>IF(J2="No",ROW(),"")</f>
        <v/>
      </c>
      <c r="U2" s="152">
        <f>IFERROR(INDEX($H$2:$H$100,SMALL($T$2:$T$100,ROWS($U$2:U2))-ROW($I$2)+1),"")</f>
        <v/>
      </c>
    </row>
    <row r="3" ht="81" customHeight="1" s="158">
      <c r="A3" s="109" t="n"/>
      <c r="B3" s="150" t="n"/>
      <c r="C3" s="149" t="n"/>
      <c r="D3" s="151" t="inlineStr">
        <is>
          <t>Registre des incidents</t>
        </is>
      </c>
      <c r="E3" s="9" t="inlineStr">
        <is>
          <t>Existe-t-il un registre ou un outil de ticketing pour tracer les incidents ?</t>
        </is>
      </c>
      <c r="F3" s="9" t="inlineStr">
        <is>
          <t>S’assurer qu’un registre ou un outil de ticketing est utilisé pour tracer les incidents afin d’assurer la traçabilité et le suivi.</t>
        </is>
      </c>
      <c r="G3" s="7" t="inlineStr">
        <is>
          <t>Registre des incidents ; outil de ticketing ; rapports de suivi des incidents</t>
        </is>
      </c>
      <c r="H3" s="185" t="inlineStr">
        <is>
          <t>Is a formal incident logging register or ticketing system implemented to ensure proper tracking, documentation, and traceability of incidents?</t>
        </is>
      </c>
      <c r="I3" s="185" t="inlineStr">
        <is>
          <t>NIST 800-61r3 – RS.MA-03 / RS.AN-06
CSF 2.0 – RS.MA (Incident Management)
27002 – 5.25 / 5.26</t>
        </is>
      </c>
      <c r="J3" s="151" t="inlineStr">
        <is>
          <t>No</t>
        </is>
      </c>
      <c r="K3" s="109" t="n"/>
      <c r="L3" s="109" t="n"/>
      <c r="M3" s="87" t="inlineStr">
        <is>
          <t>No</t>
        </is>
      </c>
      <c r="N3" s="85">
        <f>COUNTIF(J2:J24,"No")</f>
        <v/>
      </c>
      <c r="O3" s="46" t="n"/>
      <c r="P3" s="46" t="n"/>
      <c r="T3" s="152">
        <f>IF(J3="No",ROW(),"")</f>
        <v/>
      </c>
      <c r="U3" s="152">
        <f>IFERROR(INDEX($H$2:$H$100,SMALL($T$2:$T$100,ROWS($U$2:U3))-ROW($I$2)+1),"")</f>
        <v/>
      </c>
    </row>
    <row r="4" ht="79.95" customHeight="1" s="158" thickBot="1">
      <c r="A4" s="109" t="n"/>
      <c r="B4" s="150" t="n"/>
      <c r="C4" s="151" t="inlineStr">
        <is>
          <t>Confinement, éradication et remédiation</t>
        </is>
      </c>
      <c r="D4" s="151" t="inlineStr">
        <is>
          <t>Procédure d’éradication</t>
        </is>
      </c>
      <c r="E4" s="20" t="inlineStr">
        <is>
          <t>Les actions d’éradication de la menace sont-elles documentées ?</t>
        </is>
      </c>
      <c r="F4" s="9" t="inlineStr">
        <is>
          <t>S’assurer que les actions d’éradication de la menace sont documentées afin de neutraliser efficacement les causes des incidents.</t>
        </is>
      </c>
      <c r="G4" s="7" t="inlineStr">
        <is>
          <t>Procédure d’éradication ; runbooks techniques ; rapports d’intervention</t>
        </is>
      </c>
      <c r="H4" s="185" t="inlineStr">
        <is>
          <t>What eradication actions are defined to address identified threats?</t>
        </is>
      </c>
      <c r="I4" s="185" t="inlineStr">
        <is>
          <t>NIST 800-61r3 – RS.MI-02 / RS.AN-03
CSF 2.0 – RS.MI (Incident Mitigation)
27002 – 5.26</t>
        </is>
      </c>
      <c r="J4" s="151" t="inlineStr">
        <is>
          <t>Yes</t>
        </is>
      </c>
      <c r="K4" s="109" t="n"/>
      <c r="L4" s="109" t="n"/>
      <c r="M4" s="114" t="inlineStr">
        <is>
          <t>N/A</t>
        </is>
      </c>
      <c r="N4" s="86">
        <f>COUNTIF(J2:J24,"N/A")</f>
        <v/>
      </c>
      <c r="T4" s="152">
        <f>IF(J4="No",ROW(),"")</f>
        <v/>
      </c>
      <c r="U4" s="152">
        <f>IFERROR(INDEX($H$2:$H$100,SMALL($T$2:$T$100,ROWS($U$2:U4))-ROW($I$2)+1),"")</f>
        <v/>
      </c>
    </row>
    <row r="5" ht="87" customHeight="1" s="158" thickBot="1">
      <c r="A5" s="109" t="n"/>
      <c r="B5" s="150" t="n"/>
      <c r="C5" s="152" t="inlineStr">
        <is>
          <t>Securite Physique</t>
        </is>
      </c>
      <c r="D5" s="151" t="inlineStr">
        <is>
          <t>Périmètres de sécurité physique</t>
        </is>
      </c>
      <c r="E5" s="35" t="inlineStr">
        <is>
          <t>Mise en place de contrôles d’accès physique, surveillance et protection des sites</t>
        </is>
      </c>
      <c r="F5" s="35" t="inlineStr">
        <is>
          <t>Assurer la protection des infrastructures critiques contre les accès non autorisés</t>
        </is>
      </c>
      <c r="G5" s="35" t="inlineStr">
        <is>
          <t>Contrôles d’accès physiques ; vidéosurveillance ; systèmes d’alarme ; registres d’accès</t>
        </is>
      </c>
      <c r="H5" s="2" t="inlineStr">
        <is>
          <t>Comment l’entreprise s’assure-t-elle que les bâtiments hébergeant des systèmes d’information sont physiquement sécurisés, que l’accès physique est contrôlé et limité aux personnes autorisées, et que des systèmes d’alarme et de surveillance sont installés et opérationnels ?</t>
        </is>
      </c>
      <c r="I5" s="2" t="inlineStr">
        <is>
          <t>NIST 800-61r3 – DE.CM-02 / PR.AA-06
CSF 2.0 – PR.AA (Physical Access)
27002 – 7.1 / 7.2 / 7.4</t>
        </is>
      </c>
      <c r="J5" s="151" t="inlineStr">
        <is>
          <t>No</t>
        </is>
      </c>
      <c r="K5" s="109" t="n"/>
      <c r="L5" s="109" t="n"/>
      <c r="M5" s="118" t="inlineStr">
        <is>
          <t>Auditeur</t>
        </is>
      </c>
      <c r="N5" s="99" t="inlineStr">
        <is>
          <t>Oumayma</t>
        </is>
      </c>
      <c r="T5" s="152">
        <f>IF(J5="No",ROW(),"")</f>
        <v/>
      </c>
      <c r="U5" s="152">
        <f>IFERROR(INDEX($H$2:$H$100,SMALL($T$2:$T$100,ROWS($U$2:U5))-ROW($I$2)+1),"")</f>
        <v/>
      </c>
    </row>
    <row r="6" ht="91.05" customHeight="1" s="158">
      <c r="A6" s="109" t="n"/>
      <c r="B6" s="150" t="n"/>
      <c r="C6" s="152" t="inlineStr">
        <is>
          <t>Fonctionnement</t>
        </is>
      </c>
      <c r="D6" s="151" t="inlineStr">
        <is>
          <t>Terminaux finaux
des utilisateurs</t>
        </is>
      </c>
      <c r="E6" s="148" t="inlineStr">
        <is>
          <t>Définition des exigences de sécurité des logiciels et gestion des mises à jour</t>
        </is>
      </c>
      <c r="F6" s="148" t="inlineStr">
        <is>
          <t>Assurer la sécurité et la conformité des terminaux utilisateurs</t>
        </is>
      </c>
      <c r="G6" s="148" t="inlineStr">
        <is>
          <t>Politique de gestion des correctifs ; inventaire logiciel ; outils de gestion des endpoints</t>
        </is>
      </c>
      <c r="H6" s="35" t="inlineStr">
        <is>
          <t>Quelles exigences sont définies concernant les logiciels installés sur les terminaux des utilisateurs finaux, et comment et comment les mises à jour sont-elles assurées ?</t>
        </is>
      </c>
      <c r="I6" s="35" t="inlineStr">
        <is>
          <t>NIST 800-61r3 – DE.CM-09 / PR.PS-02
CSF 2.0 – PR.PS (Platform Security)
27002 – 8.1 / 8.8</t>
        </is>
      </c>
      <c r="J6" s="151" t="inlineStr">
        <is>
          <t>Yes</t>
        </is>
      </c>
      <c r="K6" s="109" t="n"/>
      <c r="L6" s="109" t="n"/>
      <c r="T6" s="152">
        <f>IF(J6="No",ROW(),"")</f>
        <v/>
      </c>
      <c r="U6" s="152">
        <f>IFERROR(INDEX($H$2:$H$100,SMALL($T$2:$T$100,ROWS($U$2:U6))-ROW($I$2)+1),"")</f>
        <v/>
      </c>
    </row>
    <row r="7" ht="43.5" customHeight="1" s="158">
      <c r="A7" s="109" t="n"/>
      <c r="B7" s="150" t="n"/>
      <c r="C7" s="150" t="n"/>
      <c r="D7" s="151" t="inlineStr">
        <is>
          <t>Protection contre les programmes malveillants</t>
        </is>
      </c>
      <c r="E7" s="148" t="inlineStr">
        <is>
          <t>Analyse systématique des données entrantes</t>
        </is>
      </c>
      <c r="F7" s="148" t="inlineStr">
        <is>
          <t>Prévenir l’introduction de logiciels malveillants via des supports externes ou réseaux</t>
        </is>
      </c>
      <c r="G7" s="148" t="inlineStr">
        <is>
          <t>Solutions antivirus ; passerelles de sécurité ; rapports d’analyse</t>
        </is>
      </c>
      <c r="H7" s="148" t="inlineStr">
        <is>
          <t xml:space="preserve">Les données reçues via les réseaux, supports de stockage ou pièces jointes des emails, sont-elles systématiquement analysées avant utilisation ? </t>
        </is>
      </c>
      <c r="I7" s="124" t="inlineStr">
        <is>
          <t>NIST 800-61r3 – DE.CM-09 / RS.MI-01
CSF 2.0 – DE.CM-09
27002 – 8.7</t>
        </is>
      </c>
      <c r="J7" s="151" t="inlineStr">
        <is>
          <t>No</t>
        </is>
      </c>
      <c r="K7" s="109" t="n"/>
      <c r="L7" s="109" t="n"/>
      <c r="T7" s="152">
        <f>IF(J7="No",ROW(),"")</f>
        <v/>
      </c>
      <c r="U7" s="152">
        <f>IFERROR(INDEX($H$2:$H$100,SMALL($T$2:$T$100,ROWS($U$2:U7))-ROW($I$2)+1),"")</f>
        <v/>
      </c>
    </row>
    <row r="8" ht="43.5" customHeight="1" s="158">
      <c r="A8" s="109" t="n"/>
      <c r="B8" s="150" t="n"/>
      <c r="C8" s="150" t="n"/>
      <c r="D8" s="150" t="n"/>
      <c r="E8" s="149" t="n"/>
      <c r="F8" s="149" t="n"/>
      <c r="G8" s="149" t="n"/>
      <c r="H8" s="149" t="n"/>
      <c r="I8" s="125" t="n"/>
      <c r="J8" s="149" t="n"/>
      <c r="K8" s="109" t="n"/>
      <c r="L8" s="109" t="n"/>
      <c r="T8" s="152">
        <f>IF(J8="No",ROW(),"")</f>
        <v/>
      </c>
      <c r="U8" s="152">
        <f>IFERROR(INDEX($H$2:$H$100,SMALL($T$2:$T$100,ROWS($U$2:U8))-ROW($I$2)+1),"")</f>
        <v/>
      </c>
    </row>
    <row r="9" ht="49.95" customHeight="1" s="158">
      <c r="A9" s="109" t="n"/>
      <c r="B9" s="150" t="n"/>
      <c r="C9" s="150" t="n"/>
      <c r="D9" s="149" t="n"/>
      <c r="E9" s="148" t="inlineStr">
        <is>
          <t>Déploiement d’outils anti-malware à jour</t>
        </is>
      </c>
      <c r="F9" s="148" t="inlineStr">
        <is>
          <t>Détecter et supprimer les programmes malveillants efficacement</t>
        </is>
      </c>
      <c r="G9" s="148" t="inlineStr">
        <is>
          <t>Antivirus/EDR ; journaux de mise à jour ; rapports de détection</t>
        </is>
      </c>
      <c r="H9" s="35" t="inlineStr">
        <is>
          <t>Des outils de détection et de suppression des programmes malveillants sont-ils installés et régulièrement mis à jour sur les systèmes ?</t>
        </is>
      </c>
      <c r="I9" s="35" t="inlineStr">
        <is>
          <t>NIST 800-61r3 – DE.CM-09 / RS.MI-01
CSF 2.0 – PR.PS / DE.CM
27002 – 8.7</t>
        </is>
      </c>
      <c r="J9" s="151" t="inlineStr">
        <is>
          <t>Yes</t>
        </is>
      </c>
      <c r="K9" s="109" t="n"/>
      <c r="L9" s="109" t="n"/>
      <c r="T9" s="152">
        <f>IF(J9="No",ROW(),"")</f>
        <v/>
      </c>
      <c r="U9" s="152">
        <f>IFERROR(INDEX($H$2:$H$100,SMALL($T$2:$T$100,ROWS($U$2:U9))-ROW($I$2)+1),"")</f>
        <v/>
      </c>
    </row>
    <row r="10" ht="43.5" customHeight="1" s="158">
      <c r="A10" s="109" t="n"/>
      <c r="B10" s="150" t="n"/>
      <c r="C10" s="150" t="n"/>
      <c r="D10" s="151" t="inlineStr">
        <is>
          <t>Gestion des vulnérabilités techniques</t>
        </is>
      </c>
      <c r="E10" s="148" t="inlineStr">
        <is>
          <t>Vérification de l’intégrité des mises à jour</t>
        </is>
      </c>
      <c r="F10" s="148" t="inlineStr">
        <is>
          <t>Garantir que seules des mises à jour fiables sont installées</t>
        </is>
      </c>
      <c r="G10" s="148" t="inlineStr">
        <is>
          <t>Signatures numériques ; journaux de validation ; politiques de patching</t>
        </is>
      </c>
      <c r="H10" s="2" t="inlineStr">
        <is>
          <t>Les mises à jour sont-elles signées numériquement et leur intégrité est-elle vérifiée avant installation</t>
        </is>
      </c>
      <c r="I10" s="2" t="inlineStr">
        <is>
          <t>NIST 800-61r3 – ID.RA-09 / PR.PS-02
CSF 2.0 – PR.PS-02 / ID.RA-09
27002 – 8.8 / 8.9</t>
        </is>
      </c>
      <c r="J10" s="151" t="inlineStr">
        <is>
          <t>Yes</t>
        </is>
      </c>
      <c r="K10" s="109" t="n"/>
      <c r="L10" s="109" t="n"/>
      <c r="T10" s="152">
        <f>IF(J10="No",ROW(),"")</f>
        <v/>
      </c>
      <c r="U10" s="152">
        <f>IFERROR(INDEX($H$2:$H$100,SMALL($T$2:$T$100,ROWS($U$2:U10))-ROW($I$2)+1),"")</f>
        <v/>
      </c>
    </row>
    <row r="11" ht="43.5" customHeight="1" s="158">
      <c r="A11" s="109" t="n"/>
      <c r="B11" s="150" t="n"/>
      <c r="C11" s="150" t="n"/>
      <c r="D11" s="150" t="n"/>
      <c r="E11" s="148" t="inlineStr">
        <is>
          <t>Réalisation de tests de sécurité réguliers</t>
        </is>
      </c>
      <c r="F11" s="148" t="inlineStr">
        <is>
          <t>Identifier et corriger les vulnérabilités</t>
        </is>
      </c>
      <c r="G11" s="148" t="inlineStr">
        <is>
          <t>Rapports de pentest ; scans de vulnérabilités</t>
        </is>
      </c>
      <c r="H11" s="148" t="inlineStr">
        <is>
          <t>Des tests de pénétration ou évaluations de vulnérabilités sont-ils réalisés régulièrement par du personnel compétent et autorisé ?</t>
        </is>
      </c>
      <c r="I11" s="124" t="inlineStr">
        <is>
          <t>NIST 800-61r3 – ID.IM-02 / ID.RA-05
CSF 2.0 – ID.IM-02 (Tests &amp; Exercises)
27002 – 8.8</t>
        </is>
      </c>
      <c r="J11" s="151" t="inlineStr">
        <is>
          <t>Yes</t>
        </is>
      </c>
      <c r="K11" s="109" t="n"/>
      <c r="L11" s="109" t="n"/>
      <c r="T11" s="152">
        <f>IF(J11="No",ROW(),"")</f>
        <v/>
      </c>
      <c r="U11" s="152">
        <f>IFERROR(INDEX($H$2:$H$100,SMALL($T$2:$T$100,ROWS($U$2:U11))-ROW($I$2)+1),"")</f>
        <v/>
      </c>
    </row>
    <row r="12" ht="43.5" customHeight="1" s="158">
      <c r="A12" s="109" t="n"/>
      <c r="B12" s="150" t="n"/>
      <c r="C12" s="150" t="n"/>
      <c r="D12" s="149" t="n"/>
      <c r="E12" s="149" t="n"/>
      <c r="F12" s="149" t="n"/>
      <c r="G12" s="149" t="n"/>
      <c r="H12" s="149" t="n"/>
      <c r="I12" s="125" t="n"/>
      <c r="J12" s="149" t="n"/>
      <c r="K12" s="109" t="n"/>
      <c r="L12" s="109" t="n"/>
      <c r="T12" s="152">
        <f>IF(J12="No",ROW(),"")</f>
        <v/>
      </c>
      <c r="U12" s="152">
        <f>IFERROR(INDEX($H$2:$H$100,SMALL($T$2:$T$100,ROWS($U$2:U12))-ROW($I$2)+1),"")</f>
        <v/>
      </c>
    </row>
    <row r="13" ht="43.2" customHeight="1" s="158">
      <c r="A13" s="109" t="n"/>
      <c r="B13" s="150" t="n"/>
      <c r="C13" s="150" t="n"/>
      <c r="D13" s="151" t="inlineStr">
        <is>
          <t>Prévention de la fuite de données</t>
        </is>
      </c>
      <c r="E13" s="35" t="inlineStr">
        <is>
          <t>Mise en place de contrôles d’accès aux données sensibles</t>
        </is>
      </c>
      <c r="F13" s="2" t="inlineStr">
        <is>
          <t>Limiter l’accès aux données selon le principe du moindre privilège</t>
        </is>
      </c>
      <c r="G13" s="56" t="inlineStr">
        <is>
          <t>Programme de blockage; journaux d’accès ; revues des droits</t>
        </is>
      </c>
      <c r="H13" s="35" t="inlineStr">
        <is>
          <t>Les accès aux données sensibles sont-ils protégés par des contrôles d’accès granulaires (RBAC/ABAC) ?</t>
        </is>
      </c>
      <c r="I13" s="35" t="inlineStr">
        <is>
          <t>NIST 800-61r3 – PR.AA-05
CSF 2.0 – PR.AA-05 (Least Privilege)
27002 – 5.15 / 8.3</t>
        </is>
      </c>
      <c r="J13" s="151" t="inlineStr">
        <is>
          <t>Yes</t>
        </is>
      </c>
      <c r="K13" s="109" t="n"/>
      <c r="L13" s="109" t="n"/>
      <c r="T13" s="152">
        <f>IF(J13="No",ROW(),"")</f>
        <v/>
      </c>
      <c r="U13" s="152">
        <f>IFERROR(INDEX($H$2:$H$100,SMALL($T$2:$T$100,ROWS($U$2:U13))-ROW($I$2)+1),"")</f>
        <v/>
      </c>
    </row>
    <row r="14" ht="53.55" customHeight="1" s="158">
      <c r="A14" s="109" t="n"/>
      <c r="B14" s="150" t="n"/>
      <c r="C14" s="150" t="n"/>
      <c r="D14" s="150" t="n"/>
      <c r="E14" s="35" t="inlineStr">
        <is>
          <t>Contrôle des périphériques amovibles</t>
        </is>
      </c>
      <c r="F14" s="2" t="inlineStr">
        <is>
          <t>Réduire les risques d’exfiltration de données</t>
        </is>
      </c>
      <c r="G14" s="40" t="inlineStr">
        <is>
          <t>Politiques USB ; journaux d’accès ; solutions de contrôle des périphériques</t>
        </is>
      </c>
      <c r="H14" s="35" t="inlineStr">
        <is>
          <t>Les périphériques amovibles (USB, disques externes) sont-ils contrôlés ?</t>
        </is>
      </c>
      <c r="I14" s="35" t="inlineStr">
        <is>
          <t>NIST 800-61r3 – PR.PS-05
CSF 2.0 – PR.PS-05
27002 – 7.10 / 8.1</t>
        </is>
      </c>
      <c r="J14" s="151" t="inlineStr">
        <is>
          <t>Yes</t>
        </is>
      </c>
      <c r="K14" s="109" t="n"/>
      <c r="L14" s="109" t="n"/>
      <c r="T14" s="152">
        <f>IF(J14="No",ROW(),"")</f>
        <v/>
      </c>
      <c r="U14" s="152">
        <f>IFERROR(INDEX($H$2:$H$100,SMALL($T$2:$T$100,ROWS($U$2:U14))-ROW($I$2)+1),"")</f>
        <v/>
      </c>
    </row>
    <row r="15" ht="51" customHeight="1" s="158">
      <c r="A15" s="109" t="n"/>
      <c r="B15" s="150" t="n"/>
      <c r="C15" s="150" t="n"/>
      <c r="D15" s="149" t="n"/>
      <c r="E15" s="35" t="inlineStr">
        <is>
          <t>Déploiement de solutions DLP</t>
        </is>
      </c>
      <c r="F15" s="2" t="inlineStr">
        <is>
          <t>Prévenir et détecter les fuites de données</t>
        </is>
      </c>
      <c r="G15" s="40" t="inlineStr">
        <is>
          <t>Solutions DLP ; rapports d’alerte ; politiques de sécurité</t>
        </is>
      </c>
      <c r="H15" s="2" t="inlineStr">
        <is>
          <t>Des solutions DLP sont-elles déployées sur les endpoints, le réseau et le cloud ?</t>
        </is>
      </c>
      <c r="I15" s="2" t="inlineStr">
        <is>
          <t>NIST 800-61r3 – DE.CM-09 / PR.DS-01
CSF 2.0 – PR.DS (Data Security)
27002 – 8.12</t>
        </is>
      </c>
      <c r="J15" s="151" t="inlineStr">
        <is>
          <t>Yes</t>
        </is>
      </c>
      <c r="K15" s="109" t="n"/>
      <c r="L15" s="109" t="n"/>
      <c r="T15" s="152">
        <f>IF(J15="No",ROW(),"")</f>
        <v/>
      </c>
      <c r="U15" s="152">
        <f>IFERROR(INDEX($H$2:$H$100,SMALL($T$2:$T$100,ROWS($U$2:U15))-ROW($I$2)+1),"")</f>
        <v/>
      </c>
    </row>
    <row r="16" ht="47.55" customHeight="1" s="158">
      <c r="A16" s="109" t="n"/>
      <c r="B16" s="150" t="n"/>
      <c r="C16" s="150" t="n"/>
      <c r="D16" s="151" t="inlineStr">
        <is>
          <t>Redondance des moyens de traite- ment de l'infor- mation</t>
        </is>
      </c>
      <c r="E16" s="148" t="inlineStr">
        <is>
          <t>Mise en place de mécanismes de redondance des systèmes critiques</t>
        </is>
      </c>
      <c r="F16" s="148" t="inlineStr">
        <is>
          <t>Assurer la continuité de service</t>
        </is>
      </c>
      <c r="G16" s="148" t="inlineStr">
        <is>
          <t>Architectures redondantes ; documentation technique ; tests de bascule</t>
        </is>
      </c>
      <c r="H16" s="148" t="inlineStr">
        <is>
          <t>L’architecture des systèmes intègre-t-elle des mécanismes de redondance (active-active, active-passive) adaptés aux besoins métier ? (fourniseur internet , power suply , service acess )</t>
        </is>
      </c>
      <c r="I16" s="124" t="inlineStr">
        <is>
          <t>NIST 800-61r3 – PR.IR-03 / PR.IR-04
CSF 2.0 – PR.IR (Infrastructure Resilience)
27002 – 8.14</t>
        </is>
      </c>
      <c r="J16" s="151" t="inlineStr">
        <is>
          <t>Yes</t>
        </is>
      </c>
      <c r="K16" s="109" t="n"/>
      <c r="L16" s="109" t="n"/>
      <c r="T16" s="152">
        <f>IF(J16="No",ROW(),"")</f>
        <v/>
      </c>
      <c r="U16" s="152">
        <f>IFERROR(INDEX($H$2:$H$100,SMALL($T$2:$T$100,ROWS($U$2:U16))-ROW($I$2)+1),"")</f>
        <v/>
      </c>
    </row>
    <row r="17" hidden="1" ht="22.05" customHeight="1" s="158">
      <c r="A17" s="109" t="n"/>
      <c r="B17" s="150" t="n"/>
      <c r="C17" s="150" t="n"/>
      <c r="D17" s="150" t="n"/>
      <c r="E17" s="150" t="n"/>
      <c r="F17" s="150" t="n"/>
      <c r="G17" s="150" t="n"/>
      <c r="H17" s="150" t="n"/>
      <c r="I17" s="128" t="n"/>
      <c r="J17" s="150" t="n"/>
      <c r="K17" s="109" t="n"/>
      <c r="L17" s="109" t="n"/>
      <c r="T17" s="152">
        <f>IF(J17="No",ROW(),"")</f>
        <v/>
      </c>
      <c r="U17" s="152">
        <f>IFERROR(INDEX($H$2:$H$100,SMALL($T$2:$T$100,ROWS($U$2:U17))-ROW($I$2)+1),"")</f>
        <v/>
      </c>
    </row>
    <row r="18">
      <c r="A18" s="109" t="n"/>
      <c r="B18" s="150" t="n"/>
      <c r="C18" s="150" t="n"/>
      <c r="D18" s="149" t="n"/>
      <c r="E18" s="149" t="n"/>
      <c r="F18" s="149" t="n"/>
      <c r="G18" s="149" t="n"/>
      <c r="H18" s="149" t="n"/>
      <c r="I18" s="125" t="n"/>
      <c r="J18" s="149" t="n"/>
      <c r="K18" s="109" t="n"/>
      <c r="L18" s="109" t="n"/>
      <c r="T18" s="152">
        <f>IF(J18="No",ROW(),"")</f>
        <v/>
      </c>
      <c r="U18" s="152">
        <f>IFERROR(INDEX($H$2:$H$100,SMALL($T$2:$T$100,ROWS($U$2:U18))-ROW($I$2)+1),"")</f>
        <v/>
      </c>
    </row>
    <row r="19" ht="61.95" customHeight="1" s="158">
      <c r="A19" s="109" t="n"/>
      <c r="B19" s="150" t="n"/>
      <c r="C19" s="150" t="n"/>
      <c r="D19" s="154" t="inlineStr">
        <is>
          <t>Sécurité des réseaux</t>
        </is>
      </c>
      <c r="E19" s="148" t="inlineStr">
        <is>
          <t>Sauvegarde et gestion des configurations réseau</t>
        </is>
      </c>
      <c r="F19" s="148" t="inlineStr">
        <is>
          <t>Assurer l’intégrité et la restauration des configurations</t>
        </is>
      </c>
      <c r="G19" s="2" t="inlineStr">
        <is>
          <t>Sauvegardes de configuration ; outils de gestion réseau ; historiques de version</t>
        </is>
      </c>
      <c r="H19" s="148" t="inlineStr">
        <is>
          <t>Les configurations réseau sont-elles sauvegardées et versionnées pour assurer leur intégrité et leur restauration ?</t>
        </is>
      </c>
      <c r="I19" s="148" t="inlineStr">
        <is>
          <t>NIST 800-61r3 – PR.PS-01 / RC.RP-03
CSF 2.0 – PR.PS-01 / RC.RP
27002 – 8.9 / 8.13</t>
        </is>
      </c>
      <c r="J19" s="151" t="inlineStr">
        <is>
          <t>No</t>
        </is>
      </c>
      <c r="K19" s="109" t="n"/>
      <c r="L19" s="109" t="n"/>
      <c r="T19" s="152">
        <f>IF(J19="No",ROW(),"")</f>
        <v/>
      </c>
      <c r="U19" s="152">
        <f>IFERROR(INDEX($H$2:$H$100,SMALL($T$2:$T$100,ROWS($U$2:U19))-ROW($I$2)+1),"")</f>
        <v/>
      </c>
    </row>
    <row r="20">
      <c r="A20" s="109" t="n"/>
      <c r="B20" s="150" t="n"/>
      <c r="C20" s="150" t="n"/>
      <c r="D20" s="150" t="n"/>
      <c r="E20" s="148" t="inlineStr">
        <is>
          <t>Segmentation réseau et contrôle des protocoles</t>
        </is>
      </c>
      <c r="F20" s="148" t="inlineStr">
        <is>
          <t>Limiter la propagation des menaces</t>
        </is>
      </c>
      <c r="G20" s="153" t="inlineStr">
        <is>
          <t>Architecture réseau ; VLAN ; règles de filtrage ; documentation des protocoles</t>
        </is>
      </c>
      <c r="H20" s="148" t="inlineStr">
        <is>
          <t>Le réseau est-il correctement segmenté, et quels protocoles sont autorisés au sein du réseau ?</t>
        </is>
      </c>
      <c r="I20" s="124" t="n"/>
      <c r="J20" s="151" t="inlineStr">
        <is>
          <t>Yes</t>
        </is>
      </c>
      <c r="K20" s="109" t="n"/>
      <c r="L20" s="109" t="n"/>
      <c r="T20" s="152">
        <f>IF(J20="No",ROW(),"")</f>
        <v/>
      </c>
      <c r="U20" s="152">
        <f>IFERROR(INDEX($H$2:$H$100,SMALL($T$2:$T$100,ROWS($U$2:U20))-ROW($I$2)+1),"")</f>
        <v/>
      </c>
    </row>
    <row r="21" ht="28.95" customHeight="1" s="158">
      <c r="A21" s="109" t="n"/>
      <c r="B21" s="150" t="n"/>
      <c r="C21" s="150" t="n"/>
      <c r="D21" s="150" t="n"/>
      <c r="E21" s="149" t="n"/>
      <c r="F21" s="149" t="n"/>
      <c r="G21" s="149" t="n"/>
      <c r="H21" s="149" t="n"/>
      <c r="I21" s="125" t="inlineStr">
        <is>
          <t>NIST 800-61r3 – PR.IR-01 / DE.CM-01
CSF 2.0 – PR.IR-01 / DE.CM-01
27002 – 8.20 / 8.22</t>
        </is>
      </c>
      <c r="J21" s="149" t="n"/>
      <c r="K21" s="109" t="n"/>
      <c r="L21" s="109" t="n"/>
      <c r="T21" s="152">
        <f>IF(J21="No",ROW(),"")</f>
        <v/>
      </c>
      <c r="U21" s="152">
        <f>IFERROR(INDEX($H$2:$H$100,SMALL($T$2:$T$100,ROWS($U$2:U21))-ROW($I$2)+1),"")</f>
        <v/>
      </c>
    </row>
    <row r="22" ht="39.45" customHeight="1" s="158">
      <c r="A22" s="109" t="n"/>
      <c r="B22" s="150" t="n"/>
      <c r="C22" s="150" t="n"/>
      <c r="D22" s="150" t="n"/>
      <c r="E22" s="148" t="inlineStr">
        <is>
          <t>Mise en place de contrôles d’accès réseau</t>
        </is>
      </c>
      <c r="F22" s="148" t="inlineStr">
        <is>
          <t>Protéger les ressources réseau contre les accès non autorisés</t>
        </is>
      </c>
      <c r="G22" s="148" t="inlineStr">
        <is>
          <t>Firewalls ; ACL ; journaux de filtrage ; configurations réseau</t>
        </is>
      </c>
      <c r="H22" s="53" t="inlineStr">
        <is>
          <t>Des contrôles d’accès réseau (firewalls, ACL) sont-ils configurés ?</t>
        </is>
      </c>
      <c r="I22" s="53" t="inlineStr">
        <is>
          <t>NIST 800-61r3 – PR.IR-01 / DE.CM-01
CSF 2.0 – PR.AA / PR.IR-01
27002 – 8.20 / 8.21</t>
        </is>
      </c>
      <c r="J22" s="154" t="inlineStr">
        <is>
          <t>No</t>
        </is>
      </c>
      <c r="K22" s="109" t="n"/>
      <c r="L22" s="109" t="n"/>
      <c r="T22" s="152">
        <f>IF(J22="No",ROW(),"")</f>
        <v/>
      </c>
      <c r="U22" s="152">
        <f>IFERROR(INDEX($H$2:$H$100,SMALL($T$2:$T$100,ROWS($U$2:U22))-ROW($I$2)+1),"")</f>
        <v/>
      </c>
    </row>
    <row r="23" ht="42" customHeight="1" s="158">
      <c r="A23" s="109" t="n"/>
      <c r="B23" s="150" t="n"/>
      <c r="C23" s="150" t="n"/>
      <c r="D23" s="151" t="inlineStr">
        <is>
          <t>Utilisation de la cryptographie</t>
        </is>
      </c>
      <c r="E23" s="148" t="inlineStr">
        <is>
          <t>Chiffrement des données et gestion des impacts sur la sécurité</t>
        </is>
      </c>
      <c r="F23" s="148" t="inlineStr">
        <is>
          <t>Protéger la confidentialité et l’intégrité des données</t>
        </is>
      </c>
      <c r="G23" s="148" t="inlineStr">
        <is>
          <t>certificats ; journaux ; outils d’inspection TLS</t>
        </is>
      </c>
      <c r="H23" s="148" t="inlineStr">
        <is>
          <t>Les données au repos et en transit sont-elles chiffrées, et des mécanismes sont-ils en place pour gérer l’impact du chiffrement sur les contrôles de sécurité (Inspection, détection et analyse) ?</t>
        </is>
      </c>
      <c r="I23" s="124" t="inlineStr">
        <is>
          <t>NIST 800-61r3 – PR.DS-01 / PR.DS-02
CSF 2.0 – PR.DS (Data Security)
27002 – 8.24</t>
        </is>
      </c>
      <c r="J23" s="151" t="inlineStr">
        <is>
          <t>Yes</t>
        </is>
      </c>
      <c r="K23" s="109" t="n"/>
      <c r="L23" s="109" t="n"/>
      <c r="T23" s="152">
        <f>IF(J23="No",ROW(),"")</f>
        <v/>
      </c>
      <c r="U23" s="152">
        <f>IFERROR(INDEX($H$2:$H$100,SMALL($T$2:$T$100,ROWS($U$2:U23))-ROW($I$2)+1),"")</f>
        <v/>
      </c>
    </row>
    <row r="24" ht="28.95" customHeight="1" s="158">
      <c r="A24" s="109" t="n"/>
      <c r="B24" s="149" t="n"/>
      <c r="C24" s="149" t="n"/>
      <c r="D24" s="149" t="n"/>
      <c r="E24" s="149" t="n"/>
      <c r="F24" s="149" t="n"/>
      <c r="G24" s="149" t="n"/>
      <c r="H24" s="149" t="n"/>
      <c r="I24" s="125" t="n"/>
      <c r="J24" s="149" t="n"/>
      <c r="K24" s="109" t="n"/>
      <c r="L24" s="109" t="n"/>
      <c r="T24" s="152">
        <f>IF(J24="No",ROW(),"")</f>
        <v/>
      </c>
      <c r="U24" s="152">
        <f>IFERROR(INDEX($H$2:$H$100,SMALL($T$2:$T$100,ROWS($U$2:U24))-ROW($I$2)+1),"")</f>
        <v/>
      </c>
    </row>
    <row r="25">
      <c r="A25" s="109" t="n"/>
      <c r="B25" s="109" t="n"/>
      <c r="C25" s="109" t="n"/>
      <c r="D25" s="109" t="n"/>
      <c r="E25" s="109" t="n"/>
      <c r="F25" s="109" t="n"/>
      <c r="G25" s="109" t="n"/>
      <c r="H25" s="109" t="n"/>
      <c r="I25" s="109" t="n"/>
      <c r="J25" s="109" t="n"/>
      <c r="K25" s="109" t="n"/>
      <c r="L25" s="109" t="n"/>
      <c r="U25">
        <f>IFERROR(INDEX($H$2:$H$100,SMALL($T$2:$T$100,ROWS($U$2:U25))-ROW($I$2)+1),"")</f>
        <v/>
      </c>
    </row>
    <row r="26">
      <c r="A26" s="109" t="n"/>
      <c r="B26" s="109" t="n"/>
      <c r="C26" s="109" t="n"/>
      <c r="D26" s="109" t="n"/>
      <c r="E26" s="109" t="n"/>
      <c r="F26" s="109" t="n"/>
      <c r="G26" s="109" t="n"/>
      <c r="H26" s="109" t="n"/>
      <c r="I26" s="109" t="n"/>
      <c r="J26" s="109" t="n"/>
      <c r="K26" s="109" t="n"/>
      <c r="L26" s="109" t="n"/>
    </row>
  </sheetData>
  <mergeCells count="34">
    <mergeCell ref="G23:G24"/>
    <mergeCell ref="H16:H18"/>
    <mergeCell ref="E20:E21"/>
    <mergeCell ref="J16:J18"/>
    <mergeCell ref="G7:G8"/>
    <mergeCell ref="E23:E24"/>
    <mergeCell ref="F20:F21"/>
    <mergeCell ref="C6:C24"/>
    <mergeCell ref="H11:H12"/>
    <mergeCell ref="J11:J12"/>
    <mergeCell ref="E16:E18"/>
    <mergeCell ref="G16:G18"/>
    <mergeCell ref="J20:J21"/>
    <mergeCell ref="H7:H8"/>
    <mergeCell ref="F23:F24"/>
    <mergeCell ref="C2:C3"/>
    <mergeCell ref="E11:E12"/>
    <mergeCell ref="D10:D12"/>
    <mergeCell ref="G20:G21"/>
    <mergeCell ref="J7:J8"/>
    <mergeCell ref="F16:F18"/>
    <mergeCell ref="B2:B24"/>
    <mergeCell ref="E7:E8"/>
    <mergeCell ref="F11:F12"/>
    <mergeCell ref="D13:D15"/>
    <mergeCell ref="D23:D24"/>
    <mergeCell ref="D7:D9"/>
    <mergeCell ref="H20:H21"/>
    <mergeCell ref="F7:F8"/>
    <mergeCell ref="G11:G12"/>
    <mergeCell ref="D16:D18"/>
    <mergeCell ref="J23:J24"/>
    <mergeCell ref="H23:H24"/>
    <mergeCell ref="D19:D22"/>
  </mergeCells>
  <conditionalFormatting sqref="B1:E1">
    <cfRule type="expression" priority="9" dxfId="6">
      <formula>$A1="header"</formula>
    </cfRule>
  </conditionalFormatting>
  <conditionalFormatting sqref="B1:J1">
    <cfRule type="expression" priority="5" dxfId="5">
      <formula>$A1="header"</formula>
    </cfRule>
    <cfRule type="expression" priority="6" dxfId="4">
      <formula>$A1="blank"</formula>
    </cfRule>
  </conditionalFormatting>
  <conditionalFormatting sqref="J2:J7 J9:J11 J13:J16 J19:J20 J22:J23">
    <cfRule type="cellIs" priority="1" operator="equal" dxfId="3">
      <formula>"N/A"</formula>
    </cfRule>
    <cfRule type="cellIs" priority="2" operator="equal" dxfId="2">
      <formula>"N/A"</formula>
    </cfRule>
    <cfRule type="cellIs" priority="3" operator="equal" dxfId="1">
      <formula>"No"</formula>
    </cfRule>
    <cfRule type="cellIs" priority="4" operator="equal" dxfId="0">
      <formula>"Yes"</formula>
    </cfRule>
  </conditionalFormatting>
  <dataValidations count="2">
    <dataValidation sqref="J2:J7 J9:J11 J13:J16 J19:J20 J22:J23" showDropDown="0" showInputMessage="1" showErrorMessage="1" allowBlank="1" type="list">
      <formula1>"Yes,No,N/A"</formula1>
    </dataValidation>
    <dataValidation sqref="N5" showDropDown="0" showInputMessage="1" showErrorMessage="1" allowBlank="1" type="list">
      <formula1>"Oumayma,Dhia"</formula1>
    </dataValidation>
  </dataValidations>
  <pageMargins left="0.7" right="0.7" top="0.75" bottom="0.75" header="0.3" footer="0.3"/>
</worksheet>
</file>

<file path=xl/worksheets/sheet3.xml><?xml version="1.0" encoding="utf-8"?>
<worksheet xmlns="http://schemas.openxmlformats.org/spreadsheetml/2006/main">
  <sheetPr>
    <tabColor theme="9" tint="-0.249977111117893"/>
    <outlinePr summaryBelow="1" summaryRight="1"/>
    <pageSetUpPr/>
  </sheetPr>
  <dimension ref="A1:W13"/>
  <sheetViews>
    <sheetView topLeftCell="H1" zoomScale="49" zoomScaleNormal="49" workbookViewId="0">
      <selection activeCell="U4" sqref="U4"/>
    </sheetView>
  </sheetViews>
  <sheetFormatPr baseColWidth="10" defaultRowHeight="14.4"/>
  <cols>
    <col width="24.21875" customWidth="1" style="158" min="2" max="2"/>
    <col width="19.21875" customWidth="1" style="158" min="3" max="3"/>
    <col width="26" customWidth="1" style="158" min="4" max="4"/>
    <col width="32.21875" customWidth="1" style="158" min="5" max="5"/>
    <col width="33.88671875" customWidth="1" style="158" min="6" max="6"/>
    <col width="52.21875" customWidth="1" style="158" min="7" max="7"/>
    <col width="68.21875" customWidth="1" style="158" min="8" max="8"/>
    <col width="34.21875" customWidth="1" style="158" min="9" max="9"/>
    <col width="33.5546875" customWidth="1" style="158" min="12" max="12"/>
    <col width="39.33203125" customWidth="1" style="158" min="13" max="13"/>
    <col width="16.77734375" customWidth="1" style="158" min="14" max="14"/>
    <col width="17.44140625" customWidth="1" style="158" min="15" max="15"/>
    <col width="19" customWidth="1" style="158" min="16" max="16"/>
    <col width="20.88671875" customWidth="1" style="158" min="17" max="17"/>
    <col width="38.5546875" customWidth="1" style="158" min="18" max="18"/>
    <col width="62.6640625" customWidth="1" style="158" min="22" max="22"/>
    <col width="37.77734375" customWidth="1" style="158" min="23" max="23"/>
  </cols>
  <sheetData>
    <row r="1" ht="25.05" customHeight="1" s="158" thickBot="1">
      <c r="A1" s="48" t="n"/>
      <c r="B1" s="48" t="n"/>
      <c r="C1" s="48" t="n"/>
      <c r="D1" s="48" t="n"/>
      <c r="E1" s="48" t="n"/>
      <c r="F1" s="48" t="n"/>
      <c r="G1" s="48" t="n"/>
      <c r="H1" s="48" t="n"/>
      <c r="I1" s="48" t="n"/>
      <c r="J1" s="48" t="n"/>
      <c r="K1" s="48" t="n"/>
      <c r="L1" s="48" t="n"/>
      <c r="M1" s="48" t="n"/>
      <c r="N1" s="48" t="n"/>
      <c r="O1" s="48" t="n"/>
      <c r="P1" s="48" t="n"/>
      <c r="Q1" s="48" t="n"/>
      <c r="R1" s="48" t="n"/>
      <c r="S1" s="48" t="n"/>
    </row>
    <row r="2" ht="21.45" customHeight="1" s="158" thickBot="1">
      <c r="A2" s="157" t="n"/>
      <c r="B2" s="176" t="n"/>
      <c r="C2" s="147" t="n"/>
      <c r="D2" s="147" t="n"/>
      <c r="E2" s="147" t="n"/>
      <c r="F2" s="147" t="n"/>
      <c r="G2" s="147" t="n"/>
      <c r="H2" s="147" t="n"/>
      <c r="I2" s="157" t="n"/>
      <c r="J2" s="157" t="n"/>
      <c r="L2" s="155" t="inlineStr">
        <is>
          <t>Nb Question</t>
        </is>
      </c>
      <c r="M2" s="156" t="n"/>
      <c r="N2" s="47" t="inlineStr">
        <is>
          <t>Yes</t>
        </is>
      </c>
      <c r="O2" s="47" t="inlineStr">
        <is>
          <t>No</t>
        </is>
      </c>
      <c r="P2" s="47" t="inlineStr">
        <is>
          <t>N/A</t>
        </is>
      </c>
      <c r="Q2" s="47" t="inlineStr">
        <is>
          <t>Nb App</t>
        </is>
      </c>
      <c r="R2" s="47" t="inlineStr">
        <is>
          <t>SCORE DU DOMAIN</t>
        </is>
      </c>
      <c r="S2" s="48" t="n"/>
    </row>
    <row r="3" ht="28.05" customHeight="1" s="158">
      <c r="B3" s="36" t="inlineStr">
        <is>
          <t>Domaine</t>
        </is>
      </c>
      <c r="C3" s="36" t="inlineStr">
        <is>
          <t>Sous Domaine</t>
        </is>
      </c>
      <c r="D3" s="36" t="inlineStr">
        <is>
          <t>Catégorie de contrôle</t>
        </is>
      </c>
      <c r="E3" s="36" t="inlineStr">
        <is>
          <t>Contrôle</t>
        </is>
      </c>
      <c r="F3" s="36" t="inlineStr">
        <is>
          <t>Objectif</t>
        </is>
      </c>
      <c r="G3" s="36" t="inlineStr">
        <is>
          <t>Preuves possibles</t>
        </is>
      </c>
      <c r="H3" s="91" t="inlineStr">
        <is>
          <t>Question finale</t>
        </is>
      </c>
      <c r="I3" s="45" t="inlineStr">
        <is>
          <t>Result</t>
        </is>
      </c>
      <c r="L3" s="166">
        <f>COUNTA(I4:I13)</f>
        <v/>
      </c>
      <c r="M3" s="167" t="n"/>
      <c r="N3" s="175">
        <f>COUNTIF(I4:I12,"Yes")</f>
        <v/>
      </c>
      <c r="O3" s="172">
        <f>COUNTIF(I4:I12,"No")</f>
        <v/>
      </c>
      <c r="P3" s="160">
        <f>COUNTIF(I4:I12,"N/A")</f>
        <v/>
      </c>
      <c r="Q3" s="166">
        <f>L3-P3</f>
        <v/>
      </c>
      <c r="R3" s="165">
        <f>N3/Q3</f>
        <v/>
      </c>
      <c r="S3" s="48" t="n"/>
      <c r="U3" s="5" t="n"/>
      <c r="V3" s="44" t="n"/>
    </row>
    <row r="4" ht="133.2" customHeight="1" s="158">
      <c r="B4" s="151" t="inlineStr">
        <is>
          <t>CADRE REGLEMENTAIRE ET JURIDIQUE</t>
        </is>
      </c>
      <c r="C4" s="151" t="inlineStr">
        <is>
          <t>Cybersecurity Governance &amp; Protection</t>
        </is>
      </c>
      <c r="D4" s="148" t="inlineStr">
        <is>
          <t xml:space="preserve"> l’audit</t>
        </is>
      </c>
      <c r="E4" s="148" t="inlineStr">
        <is>
          <t>l’audit obligatoire de la sécurité des systèmes d’information</t>
        </is>
      </c>
      <c r="F4" s="148" t="inlineStr">
        <is>
          <t>S’assurer que des audits obligatoires de la sécurité des systèmes d’information sont réalisés afin d’évaluer la conformité et l’efficacité des mesures de sécurité mises en place</t>
        </is>
      </c>
      <c r="G4" s="148" t="inlineStr">
        <is>
          <t xml:space="preserve">Rapport d'audit une fois chaque 12 mois </t>
        </is>
      </c>
      <c r="H4" s="159" t="inlineStr">
        <is>
          <t>Pouvez-vous fournir les rapports d’audit réalisés au cours des 12 derniers mois, ainsi que les preuves de leur dépôt auprès de l’ANSI ?</t>
        </is>
      </c>
      <c r="I4" s="151" t="inlineStr">
        <is>
          <t>No</t>
        </is>
      </c>
      <c r="L4" s="168" t="n"/>
      <c r="M4" s="169" t="n"/>
      <c r="N4" s="161" t="n"/>
      <c r="O4" s="161" t="n"/>
      <c r="P4" s="161" t="n"/>
      <c r="Q4" s="173" t="n"/>
      <c r="R4" s="161" t="n"/>
      <c r="S4" s="48" t="n"/>
      <c r="U4" s="5">
        <f>IF(I4="No",ROW(), "")</f>
        <v/>
      </c>
      <c r="V4" s="119">
        <f>IFERROR(INDEX($H$4:$H$100,SMALL($U$4:$U$100,ROWS($V$4:V4))-ROW($H$4)+1),"")</f>
        <v/>
      </c>
      <c r="W4" s="113" t="n"/>
    </row>
    <row r="5" ht="102.6" customHeight="1" s="158" thickBot="1">
      <c r="B5" s="150" t="n"/>
      <c r="C5" s="150" t="n"/>
      <c r="D5" s="150" t="n"/>
      <c r="E5" s="150" t="n"/>
      <c r="F5" s="150" t="n"/>
      <c r="G5" s="148" t="inlineStr">
        <is>
          <t>laudit est effectuée par des
experts ou des organisme  lisyer par ANSI</t>
        </is>
      </c>
      <c r="H5" s="150" t="n"/>
      <c r="I5" s="150" t="n"/>
      <c r="L5" s="170" t="n"/>
      <c r="M5" s="171" t="n"/>
      <c r="N5" s="162" t="n"/>
      <c r="O5" s="162" t="n"/>
      <c r="P5" s="162" t="n"/>
      <c r="Q5" s="174" t="n"/>
      <c r="R5" s="162" t="n"/>
      <c r="S5" s="48" t="n"/>
      <c r="U5" s="5">
        <f>IF(I5="No",ROW(), "")</f>
        <v/>
      </c>
      <c r="V5" s="119">
        <f>IFERROR(INDEX($H$4:$H$100,SMALL($U$2:$U$100,ROWS($V$4:V5))-ROW($H$4)+1),"")</f>
        <v/>
      </c>
      <c r="W5" s="113">
        <f>IFERROR(INDEX($V$4:$V$11,SMALL(IF($V$4:$V$11&lt;&gt;"",ROW($V$4:$V$11)-ROW($V$4)+1),ROWS($W$4:W5))),"")</f>
        <v/>
      </c>
    </row>
    <row r="6" ht="84.59999999999999" customHeight="1" s="158" thickBot="1">
      <c r="B6" s="150" t="n"/>
      <c r="C6" s="150" t="n"/>
      <c r="D6" s="149" t="n"/>
      <c r="E6" s="149" t="n"/>
      <c r="F6" s="149" t="n"/>
      <c r="G6" s="148" t="inlineStr">
        <is>
          <t>organismes soumis à l’audit de sécurité
des systèmes d’information remettent à l’Agence une
copie électronique protégée du rapport d’audit dans un
délai ne dépassant pas dix (10) jours après la fin des
opérations d’audit</t>
        </is>
      </c>
      <c r="H6" s="149" t="n"/>
      <c r="I6" s="149" t="n"/>
      <c r="L6" s="48" t="n"/>
      <c r="M6" s="48" t="n"/>
      <c r="N6" s="48" t="n"/>
      <c r="O6" s="48" t="n"/>
      <c r="P6" s="48" t="n"/>
      <c r="Q6" s="48" t="n"/>
      <c r="R6" s="48" t="n"/>
      <c r="S6" s="48" t="n"/>
      <c r="U6" s="5">
        <f>IF(I6="No",ROW(), "")</f>
        <v/>
      </c>
      <c r="V6" s="119">
        <f>IFERROR(INDEX($H$4:$H$100,SMALL($U$2:$U$100,ROWS($V$4:V6))-ROW($H$4)+1),"")</f>
        <v/>
      </c>
      <c r="W6" s="113">
        <f>IFERROR(INDEX($V$4:$V$11,SMALL(IF($V$4:$V$11&lt;&gt;"",ROW($V$4:$V$11)-ROW($V$4)+1),ROWS($W$4:W6))),"")</f>
        <v/>
      </c>
    </row>
    <row r="7" ht="109.05" customHeight="1" s="158" thickBot="1">
      <c r="B7" s="150" t="n"/>
      <c r="C7" s="150" t="n"/>
      <c r="D7" s="148" t="inlineStr">
        <is>
          <t>Sécurité des logiciels et équipements
électroniques</t>
        </is>
      </c>
      <c r="E7" s="148" t="inlineStr">
        <is>
          <t xml:space="preserve">Attribution le label « sécurisé » à
chaque logiciel ou équipement électronique </t>
        </is>
      </c>
      <c r="F7" s="148" t="inlineStr">
        <is>
          <t>S’assurer que chaque logiciel ou équipement électronique obtient un label « sécurisé » afin de garantir qu’il répond aux exigences de sécurité définies.</t>
        </is>
      </c>
      <c r="G7" s="148" t="inlineStr">
        <is>
          <t xml:space="preserve">Document officiele de l'attribution de la label "securise" sur logiciel et equipement de l'entreprise  </t>
        </is>
      </c>
      <c r="H7" s="159" t="inlineStr">
        <is>
          <t>Est-ce que vos équipements électroniques et logiciels, ainsi que vos fournisseurs de services cloud, possèdent respectivement les labels « Sécurisé » et « G-Cloud / N-Cloud » valides délivrés par l’ANSI ?</t>
        </is>
      </c>
      <c r="I7" s="151" t="inlineStr">
        <is>
          <t>No</t>
        </is>
      </c>
      <c r="L7" s="73" t="inlineStr">
        <is>
          <t>Auditeur</t>
        </is>
      </c>
      <c r="M7" s="99" t="inlineStr">
        <is>
          <t>Oumayma</t>
        </is>
      </c>
      <c r="N7" s="89" t="n"/>
      <c r="U7" s="5">
        <f>IF(I7="No",ROW(), "")</f>
        <v/>
      </c>
      <c r="V7" s="119">
        <f>IFERROR(INDEX($H$4:$H$100,SMALL($U$2:$U$100,ROWS($V$4:V7))-ROW($H$4)+1),"")</f>
        <v/>
      </c>
      <c r="W7" s="113">
        <f>IFERROR(INDEX($V$4:$V$11,SMALL(IF($V$4:$V$11&lt;&gt;"",ROW($V$4:$V$11)-ROW($V$4)+1),ROWS($W$4:W7))),"")</f>
        <v/>
      </c>
    </row>
    <row r="8" ht="102" customHeight="1" s="158">
      <c r="B8" s="150" t="n"/>
      <c r="C8" s="150" t="n"/>
      <c r="D8" s="148" t="inlineStr">
        <is>
          <t xml:space="preserve">Du classement des fournisseurs des services de
l’informatique en nuage et de l’hébergement </t>
        </is>
      </c>
      <c r="E8" s="148" t="inlineStr">
        <is>
          <t>Attribution le label « G-Cloud » et « N-Cloud »  à
chaque Fournisseur de
services informatique en nuage</t>
        </is>
      </c>
      <c r="F8" s="148" t="inlineStr">
        <is>
          <t>S’assurer que chaque fournisseur de services cloud obtient les labels « G-Cloud » et « N-Cloud » afin de garantir leur conformité aux standards de sécurité applicables.</t>
        </is>
      </c>
      <c r="G8" s="148" t="inlineStr">
        <is>
          <t xml:space="preserve">document officielle de l'attribution et validiter de la label pour les fourniseur et pour l'organisme si applicable </t>
        </is>
      </c>
      <c r="H8" s="149" t="n"/>
      <c r="I8" s="149" t="n"/>
      <c r="N8" s="90" t="n"/>
      <c r="Q8" s="112" t="n"/>
      <c r="U8" s="5">
        <f>IF(I8="No",ROW(), "")</f>
        <v/>
      </c>
      <c r="V8" s="119">
        <f>IFERROR(INDEX($H$4:$H$100,SMALL($U$2:$U$100,ROWS($V$4:V8))-ROW($H$4)+1),"")</f>
        <v/>
      </c>
      <c r="W8" s="113">
        <f>IFERROR(INDEX($V$4:$V$11,SMALL(IF($V$4:$V$11&lt;&gt;"",ROW($V$4:$V$11)-ROW($V$4)+1),ROWS($W$4:W8))),"")</f>
        <v/>
      </c>
    </row>
    <row r="9" ht="252" customHeight="1" s="158">
      <c r="B9" s="150" t="n"/>
      <c r="C9" s="150" t="n"/>
      <c r="D9" s="148" t="inlineStr">
        <is>
          <t xml:space="preserve">dispositions spécifiques aux infrastructures
numériques d’importance vitale </t>
        </is>
      </c>
      <c r="E9" s="148" t="inlineStr">
        <is>
          <t>Les structures qui gèrent des
infrastructures numériques d’importance vitale sont
tenues de prendre les mesures de sécurité</t>
        </is>
      </c>
      <c r="F9" s="148" t="inlineStr">
        <is>
          <t>S’assurer que les structures gérant des infrastructures numériques critiques appliquent des mesures de sécurité renforcées afin de protéger les services essentiels</t>
        </is>
      </c>
      <c r="G9" s="148" t="inlineStr">
        <is>
          <t>Utiliser des logiciels et équipements ayant le
label « sécurisé ».
Avoir son propre centre d'hébergement
principal et un centre de backup auprès d’un
fournisseur de services informatique en nuage ayant
obtenu le label.
Respecter les mesures et les procédures
nécessaires pour assurer la continuité d'activité et
protéger les bases de données sensibles dont l'atteinte
à l'intégrité pourrait affecter à la sécurité nationale en
cas de crise cybernétique</t>
        </is>
      </c>
      <c r="H9" s="159" t="inlineStr">
        <is>
          <t>L’organisme dispose-t-il d’un centre de réponse aux urgences (propre ou adhérent) et prend-il les mesures de sécurité requises pour la gestion des infrastructures numériques d’importance vitale ?</t>
        </is>
      </c>
      <c r="I9" s="151" t="inlineStr">
        <is>
          <t>No</t>
        </is>
      </c>
      <c r="U9" s="5">
        <f>IF(I9="No",ROW(), "")</f>
        <v/>
      </c>
      <c r="V9" s="119">
        <f>IFERROR(INDEX($H$4:$H$100,SMALL($U$2:$U$100,ROWS($V$4:V9))-ROW($H$4)+1),"")</f>
        <v/>
      </c>
      <c r="W9" s="113">
        <f>IFERROR(INDEX($V$4:$V$11,SMALL(IF($V$4:$V$11&lt;&gt;"",ROW($V$4:$V$11)-ROW($V$4)+1),ROWS($W$4:W9))),"")</f>
        <v/>
      </c>
    </row>
    <row r="10" ht="139.05" customHeight="1" s="158">
      <c r="B10" s="150" t="n"/>
      <c r="C10" s="150" t="n"/>
      <c r="D10" s="148" t="inlineStr">
        <is>
          <t>Réponse aux urgences cybernétiques</t>
        </is>
      </c>
      <c r="E10" s="148" t="inlineStr">
        <is>
          <t xml:space="preserve">Les organismes sont tenues de créer leurs propres centres de réponse aux urgences ou d’adhérer à des
centres de réponse aux urgences cybernétiques </t>
        </is>
      </c>
      <c r="F10" s="148" t="inlineStr">
        <is>
          <t>S’assurer que les organismes mettent en place ou adhèrent à des centres de réponse aux urgences cybernétiques afin de garantir une capacité efficace de détection et de réponse aux incidents</t>
        </is>
      </c>
      <c r="G10" s="148" t="inlineStr">
        <is>
          <t xml:space="preserve">prezsence d'un centre local ou contrat en cas d'un tier </t>
        </is>
      </c>
      <c r="H10" s="149" t="n"/>
      <c r="I10" s="149" t="n"/>
      <c r="U10" s="5">
        <f>IF(I10="No",ROW(), "")</f>
        <v/>
      </c>
      <c r="V10" s="119">
        <f>IFERROR(INDEX($H$4:$H$100,SMALL($U$2:$U$100,ROWS($V$4:V10))-ROW($H$4)+1),"")</f>
        <v/>
      </c>
      <c r="W10" s="113">
        <f>IFERROR(INDEX($V$4:$V$11,SMALL(IF($V$4:$V$11&lt;&gt;"",ROW($V$4:$V$11)-ROW($V$4)+1),ROWS($W$4:W10))),"")</f>
        <v/>
      </c>
    </row>
    <row r="11" ht="64.95" customHeight="1" s="158">
      <c r="B11" s="149" t="n"/>
      <c r="C11" s="149" t="n"/>
      <c r="D11" s="148" t="inlineStr">
        <is>
          <t>classification selon le degré de sécurité</t>
        </is>
      </c>
      <c r="E11" s="148" t="inlineStr">
        <is>
          <t>Quelle est le niveau de securite ( premier niveau / Deuxieme niveau / Troisieme niveau )</t>
        </is>
      </c>
      <c r="F11" s="148" t="inlineStr">
        <is>
          <t>Evaluation de niveau de securite</t>
        </is>
      </c>
      <c r="G11" s="148" t="inlineStr">
        <is>
          <t>Document de classification de ANSI</t>
        </is>
      </c>
      <c r="H11" s="159" t="inlineStr">
        <is>
          <t>L’organisation possède-t-elle un niveau de sécurité délivré par l’ANSI ? Si oui, quel est ce niveau ?</t>
        </is>
      </c>
      <c r="I11" s="151" t="inlineStr">
        <is>
          <t>Yes</t>
        </is>
      </c>
      <c r="U11" s="5">
        <f>IF(I11="No",ROW(), "")</f>
        <v/>
      </c>
      <c r="V11" s="119">
        <f>IFERROR(INDEX($H$4:$H$100,SMALL($U$2:$U$100,ROWS($V$4:V11))-ROW($H$4)+1),"")</f>
        <v/>
      </c>
      <c r="W11" s="113">
        <f>IFERROR(INDEX($V$4:$V$11,SMALL(IF($V$4:$V$11&lt;&gt;"",ROW($V$4:$V$11)-ROW($V$4)+1),ROWS($W$4:W11))),"")</f>
        <v/>
      </c>
    </row>
    <row r="12" ht="21" customHeight="1" s="158">
      <c r="B12" s="163" t="n"/>
      <c r="C12" s="164" t="n"/>
      <c r="D12" s="164" t="n"/>
      <c r="E12" s="164" t="n"/>
      <c r="F12" s="164" t="n"/>
      <c r="G12" s="164" t="n"/>
      <c r="H12" s="164" t="n"/>
      <c r="I12" s="157" t="n"/>
      <c r="V12" s="113" t="n"/>
      <c r="W12" s="113">
        <f>IFERROR(INDEX($V$4:$V$11,SMALL(IF($V$4:$V$11&lt;&gt;"",ROW($V$4:$V$11)-ROW($V$4)+1),ROWS($W$4:W12))),"")</f>
        <v/>
      </c>
    </row>
    <row r="13">
      <c r="I13" s="157" t="n"/>
    </row>
  </sheetData>
  <mergeCells count="22">
    <mergeCell ref="D4:D6"/>
    <mergeCell ref="L2:M2"/>
    <mergeCell ref="A2:A13"/>
    <mergeCell ref="H9:H10"/>
    <mergeCell ref="B4:B11"/>
    <mergeCell ref="P3:P5"/>
    <mergeCell ref="B12:H13"/>
    <mergeCell ref="I4:I6"/>
    <mergeCell ref="R3:R5"/>
    <mergeCell ref="I7:I8"/>
    <mergeCell ref="H7:H8"/>
    <mergeCell ref="L3:M5"/>
    <mergeCell ref="C4:C11"/>
    <mergeCell ref="F4:F6"/>
    <mergeCell ref="H4:H6"/>
    <mergeCell ref="O3:O5"/>
    <mergeCell ref="Q3:Q5"/>
    <mergeCell ref="E4:E6"/>
    <mergeCell ref="N3:N5"/>
    <mergeCell ref="B2:H2"/>
    <mergeCell ref="I9:I10"/>
    <mergeCell ref="J2:K13"/>
  </mergeCells>
  <conditionalFormatting sqref="H3:I3">
    <cfRule type="expression" priority="7" dxfId="5">
      <formula>$A3="header"</formula>
    </cfRule>
    <cfRule type="expression" priority="8" dxfId="4">
      <formula>$A3="blank"</formula>
    </cfRule>
  </conditionalFormatting>
  <conditionalFormatting sqref="I4 I7 I9 I11">
    <cfRule type="cellIs" priority="3" operator="equal" dxfId="3">
      <formula>"N/A"</formula>
    </cfRule>
    <cfRule type="cellIs" priority="4" operator="equal" dxfId="2">
      <formula>"N/A"</formula>
    </cfRule>
    <cfRule type="cellIs" priority="5" operator="equal" dxfId="1">
      <formula>"No"</formula>
    </cfRule>
    <cfRule type="cellIs" priority="6" operator="equal" dxfId="0">
      <formula>"Yes"</formula>
    </cfRule>
  </conditionalFormatting>
  <conditionalFormatting sqref="V3">
    <cfRule type="expression" priority="1" dxfId="5">
      <formula>$A3="header"</formula>
    </cfRule>
    <cfRule type="expression" priority="2" dxfId="4">
      <formula>$A3="blank"</formula>
    </cfRule>
  </conditionalFormatting>
  <dataValidations count="2">
    <dataValidation sqref="I4 I7 I9 I11" showDropDown="0" showInputMessage="1" showErrorMessage="1" allowBlank="1" type="list">
      <formula1>"Yes,No,N/A"</formula1>
    </dataValidation>
    <dataValidation sqref="M7" showDropDown="0" showInputMessage="1" showErrorMessage="1" allowBlank="1" type="list">
      <formula1>"Oumayma,Dhia"</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tabColor theme="9" tint="-0.249977111117893"/>
    <outlinePr summaryBelow="1" summaryRight="1"/>
    <pageSetUpPr/>
  </sheetPr>
  <dimension ref="A1:AF39"/>
  <sheetViews>
    <sheetView topLeftCell="F1" zoomScale="56" zoomScaleNormal="56" workbookViewId="0">
      <selection activeCell="U14" sqref="U14"/>
    </sheetView>
  </sheetViews>
  <sheetFormatPr baseColWidth="10" defaultRowHeight="14.4"/>
  <cols>
    <col width="20.5546875" customWidth="1" style="158" min="1" max="1"/>
    <col width="16.21875" customWidth="1" style="158" min="2" max="2"/>
    <col width="21.5546875" customWidth="1" style="158" min="3" max="3"/>
    <col width="25.44140625" customWidth="1" style="158" min="4" max="4"/>
    <col width="24.109375" customWidth="1" style="158" min="5" max="5"/>
    <col width="24.21875" customWidth="1" style="158" min="6" max="6"/>
    <col width="24.44140625" customWidth="1" style="158" min="7" max="8"/>
    <col width="9.21875" customWidth="1" style="158" min="9" max="9"/>
    <col width="37.6640625" customWidth="1" style="158" min="12" max="12"/>
    <col width="24" customWidth="1" style="158" min="13" max="13"/>
    <col hidden="1" width="10.88671875" customWidth="1" style="158" min="14" max="14"/>
    <col width="25.33203125" customWidth="1" style="72" min="15" max="15"/>
    <col width="24.21875" customWidth="1" style="72" min="16" max="16"/>
    <col width="26.5546875" customWidth="1" style="72" min="17" max="17"/>
    <col width="30.44140625" customWidth="1" style="158" min="18" max="18"/>
    <col width="26.21875" customWidth="1" style="158" min="19" max="19"/>
    <col width="45.77734375" customWidth="1" style="158" min="20" max="20"/>
    <col width="36.33203125" customWidth="1" style="158" min="21" max="21"/>
    <col width="159.21875" customWidth="1" style="158" min="24" max="24"/>
  </cols>
  <sheetData>
    <row r="1" ht="24" customHeight="1" s="158" thickBot="1">
      <c r="A1" s="4" t="inlineStr">
        <is>
          <t>Domaine</t>
        </is>
      </c>
      <c r="B1" s="4" t="inlineStr">
        <is>
          <t>Sous Domaine</t>
        </is>
      </c>
      <c r="C1" s="4" t="inlineStr">
        <is>
          <t>Catégorie de contrôle</t>
        </is>
      </c>
      <c r="D1" s="4" t="inlineStr">
        <is>
          <t>Contrôle</t>
        </is>
      </c>
      <c r="E1" s="4" t="inlineStr">
        <is>
          <t>Objectif</t>
        </is>
      </c>
      <c r="F1" s="10" t="inlineStr">
        <is>
          <t>Preuves possibles</t>
        </is>
      </c>
      <c r="G1" s="4" t="inlineStr">
        <is>
          <t>Question finale</t>
        </is>
      </c>
      <c r="H1" s="63" t="n"/>
      <c r="I1" s="44" t="inlineStr">
        <is>
          <t>Result</t>
        </is>
      </c>
      <c r="J1" s="109" t="n"/>
      <c r="L1" s="76" t="inlineStr">
        <is>
          <t>Score Du Domaine</t>
        </is>
      </c>
      <c r="M1" s="177" t="inlineStr">
        <is>
          <t>ATTRIBUTE</t>
        </is>
      </c>
      <c r="N1" s="156" t="n"/>
      <c r="O1" s="177" t="inlineStr">
        <is>
          <t>VALUE</t>
        </is>
      </c>
    </row>
    <row r="2" ht="128.4" customHeight="1" s="158" thickBot="1">
      <c r="A2" s="151" t="inlineStr">
        <is>
          <t>GOUVERNANCE</t>
        </is>
      </c>
      <c r="B2" s="148" t="inlineStr">
        <is>
          <t>Cadre de gouvernance et politiques</t>
        </is>
      </c>
      <c r="C2" s="148" t="inlineStr">
        <is>
          <t xml:space="preserve">Articulation avec les dispositifs connexes </t>
        </is>
      </c>
      <c r="D2" s="183" t="inlineStr">
        <is>
          <t>Les liens entre gestion de crise, gestion des incidents, continuité d’activité et sécurité sont-ils formalisés ?</t>
        </is>
      </c>
      <c r="E2" s="183" t="inlineStr">
        <is>
          <t>S’assurer que les liens entre gestion de crise, gestion des incidents, continuité d’activité et sécurité sont formalisés afin de garantir une coordination efficace et une réponse cohérente face aux disruptions.</t>
        </is>
      </c>
      <c r="F2" s="21" t="inlineStr">
        <is>
          <t>Schéma de gouvernance ; matrice d’articulation entre dispositifs ; procédure transversale validée</t>
        </is>
      </c>
      <c r="G2" s="148" t="inlineStr">
        <is>
          <t>Les liens entre la gestion de crise, la gestion des incidents, la continuité d’activité et la sécurité sont-ils formalisés ?</t>
        </is>
      </c>
      <c r="H2" s="148" t="n"/>
      <c r="I2" s="151" t="inlineStr">
        <is>
          <t>No</t>
        </is>
      </c>
      <c r="J2" s="109" t="n"/>
      <c r="K2" s="72" t="n"/>
      <c r="L2" s="78">
        <f>O2/S2</f>
        <v/>
      </c>
      <c r="M2" s="76" t="inlineStr">
        <is>
          <t>Yes</t>
        </is>
      </c>
      <c r="N2" s="77" t="n"/>
      <c r="O2" s="69">
        <f>COUNTIF(I2:I37,"Yes")</f>
        <v/>
      </c>
      <c r="P2" s="177" t="inlineStr">
        <is>
          <t>Nb Question</t>
        </is>
      </c>
      <c r="Q2" s="68">
        <f>COUNTA(I2:I200)</f>
        <v/>
      </c>
      <c r="R2" s="177" t="inlineStr">
        <is>
          <t>Nb Question App</t>
        </is>
      </c>
      <c r="S2" s="68">
        <f>Q2-O4</f>
        <v/>
      </c>
      <c r="T2" s="73" t="inlineStr">
        <is>
          <t>Auditeur</t>
        </is>
      </c>
      <c r="U2" s="99" t="inlineStr">
        <is>
          <t>Dhia</t>
        </is>
      </c>
      <c r="V2" s="72" t="n"/>
      <c r="W2" s="106">
        <f>IF(I2="No",ROW(), "")</f>
        <v/>
      </c>
      <c r="X2" s="106">
        <f>IFERROR(INDEX($G$2:$G$100,SMALL($W$2:$W$100,ROWS($X2:X$2))-ROW($G$2)+1),"")</f>
        <v/>
      </c>
      <c r="Y2" s="72" t="n"/>
      <c r="Z2" s="72" t="n"/>
      <c r="AA2" s="72" t="n"/>
      <c r="AB2" s="72" t="n"/>
      <c r="AC2" s="72" t="n"/>
      <c r="AD2" s="72" t="n"/>
      <c r="AE2" s="72" t="n"/>
      <c r="AF2" s="72" t="n"/>
    </row>
    <row r="3" ht="115.95" customHeight="1" s="158" thickBot="1">
      <c r="A3" s="150" t="n"/>
      <c r="B3" s="150" t="n"/>
      <c r="C3" s="148" t="inlineStr">
        <is>
          <t>Existence et approbation du cadre de gouvernance</t>
        </is>
      </c>
      <c r="D3" s="183" t="inlineStr">
        <is>
          <t>Le cadre formel de gouvernance de gestion de crise cyber est-il documenté, daté et approuvé par l’autorité compétente ?</t>
        </is>
      </c>
      <c r="E3" s="21" t="inlineStr">
        <is>
          <t>S’assurer que le cadre de gouvernance de gestion de crise cyber est formellement documenté, daté et approuvé afin de garantir sa validité, sa légitimité et son application.</t>
        </is>
      </c>
      <c r="F3" s="21" t="inlineStr">
        <is>
          <t>Cadre de gouvernance approuvé ; note de validation signée ; version datée du document</t>
        </is>
      </c>
      <c r="G3" s="148" t="inlineStr">
        <is>
          <t>Le cadre formel de gouvernance de la gestion de crise cyber est-il documenté, daté et approuvé par l’autorité compétente afin de garantir sa validité et son application ?</t>
        </is>
      </c>
      <c r="H3" s="148" t="n"/>
      <c r="I3" s="151" t="inlineStr">
        <is>
          <t>No</t>
        </is>
      </c>
      <c r="J3" s="109" t="n"/>
      <c r="K3" s="72" t="n"/>
      <c r="L3" s="72" t="n"/>
      <c r="M3" s="76" t="inlineStr">
        <is>
          <t>No</t>
        </is>
      </c>
      <c r="N3" s="77" t="n"/>
      <c r="O3" s="70">
        <f>COUNTIF(I2:I37,"No")</f>
        <v/>
      </c>
      <c r="R3" s="72" t="n"/>
      <c r="S3" s="72" t="n"/>
      <c r="T3" s="72" t="n"/>
      <c r="U3" s="72" t="n"/>
      <c r="V3" s="72" t="n"/>
      <c r="W3" s="106">
        <f>IF(I3="No",ROW(), "")</f>
        <v/>
      </c>
      <c r="X3" s="106">
        <f>IFERROR(INDEX($G$2:$G$100,SMALL($W$2:$W$100,ROWS($X$2:X3))-ROW($G$2)+1),"")</f>
        <v/>
      </c>
      <c r="Y3" s="72" t="n"/>
      <c r="Z3" s="72" t="n"/>
      <c r="AA3" s="72" t="n"/>
      <c r="AB3" s="72" t="n"/>
      <c r="AC3" s="72" t="n"/>
    </row>
    <row r="4" ht="87" customHeight="1" s="158" thickBot="1">
      <c r="A4" s="150" t="n"/>
      <c r="B4" s="150" t="n"/>
      <c r="C4" s="148" t="inlineStr">
        <is>
          <t>Révision périodique du cadre et des politiques</t>
        </is>
      </c>
      <c r="D4" s="183" t="inlineStr">
        <is>
          <t>Existe-t-il une périodicité formelle de révision du cadre de gouvernance et les dernières versions sont-elles datées et tracées ?</t>
        </is>
      </c>
      <c r="E4" s="21" t="inlineStr">
        <is>
          <t>S’assurer qu’une périodicité de révision est définie et respectée afin de maintenir le cadre de gouvernance à jour et adapté aux évolutions.</t>
        </is>
      </c>
      <c r="F4" s="21" t="inlineStr">
        <is>
          <t>Calendrier de révision ; historique des versions ; journal des modifications</t>
        </is>
      </c>
      <c r="G4" s="148" t="inlineStr">
        <is>
          <t xml:space="preserve">Exsite t-il des cas specifique ou de periode qui declanche la revision du cadre de gouvernance ? </t>
        </is>
      </c>
      <c r="H4" s="148" t="n"/>
      <c r="I4" s="151" t="inlineStr">
        <is>
          <t>No</t>
        </is>
      </c>
      <c r="J4" s="109" t="n"/>
      <c r="K4" s="72" t="n"/>
      <c r="L4" s="72" t="n"/>
      <c r="M4" s="47" t="inlineStr">
        <is>
          <t>N/A</t>
        </is>
      </c>
      <c r="N4" s="72" t="n"/>
      <c r="O4" s="71">
        <f>COUNTIF(I2:I37,"N/A")</f>
        <v/>
      </c>
      <c r="P4" s="74" t="n"/>
      <c r="Q4" s="74" t="n"/>
      <c r="R4" s="72" t="n"/>
      <c r="S4" s="72" t="n"/>
      <c r="T4" s="72" t="n"/>
      <c r="U4" s="72" t="n"/>
      <c r="V4" s="72" t="n"/>
      <c r="W4" s="106">
        <f>IF(I4="No",ROW(), "")</f>
        <v/>
      </c>
      <c r="X4" s="106">
        <f>IFERROR(INDEX($G$2:$G$100,SMALL($W$2:$W$100,ROWS($X$2:X4))-ROW($G$2)+1),"")</f>
        <v/>
      </c>
      <c r="Y4" s="72" t="n"/>
      <c r="Z4" s="72" t="n"/>
      <c r="AA4" s="72" t="n"/>
      <c r="AB4" s="72" t="n"/>
      <c r="AC4" s="72" t="n"/>
    </row>
    <row r="5" ht="126.45" customHeight="1" s="158">
      <c r="A5" s="150" t="n"/>
      <c r="B5" s="149" t="n"/>
      <c r="C5" s="184" t="inlineStr">
        <is>
          <t>Diffusion du cadre aux parties prenantes concernées</t>
        </is>
      </c>
      <c r="D5" s="183" t="inlineStr">
        <is>
          <t>Le cadre de gouvernance est-il communiqué aux parties prenantes concernées et cette diffusion est-elle traçable ?</t>
        </is>
      </c>
      <c r="E5" s="21" t="inlineStr">
        <is>
          <t>S’assurer que le cadre de gouvernance est communiqué aux parties prenantes et que cette diffusion est traçable afin de garantir sa bonne appropriation.</t>
        </is>
      </c>
      <c r="F5" s="21" t="inlineStr">
        <is>
          <t>Liste de diffusion ; emails de communication ; accusés de réception ou feuilles de diffusion</t>
        </is>
      </c>
      <c r="G5" s="184" t="inlineStr">
        <is>
          <t>Existe-t-il une politique qui definie la modaliter et les ligne a suivre en terme de communication interne et externe dans le cas d'un crise cyber ?</t>
        </is>
      </c>
      <c r="H5" s="184" t="n"/>
      <c r="I5" s="151" t="inlineStr">
        <is>
          <t>No</t>
        </is>
      </c>
      <c r="J5" s="109" t="n"/>
      <c r="K5" s="72" t="n"/>
      <c r="L5" s="72" t="n"/>
      <c r="M5" s="72" t="n"/>
      <c r="N5" s="72" t="n"/>
      <c r="P5" s="74" t="n"/>
      <c r="Q5" s="74" t="n"/>
      <c r="R5" s="72" t="n"/>
      <c r="S5" s="72" t="n"/>
      <c r="T5" s="72" t="n"/>
      <c r="U5" s="72" t="n"/>
      <c r="V5" s="72" t="n"/>
      <c r="W5" s="106">
        <f>IF(I5="No",ROW(), "")</f>
        <v/>
      </c>
      <c r="X5" s="106">
        <f>IFERROR(INDEX($G$2:$G$100,SMALL($W$2:$W$100,ROWS($X$2:X5))-ROW($G$2)+1),"")</f>
        <v/>
      </c>
      <c r="Y5" s="72" t="n"/>
      <c r="Z5" s="72" t="n"/>
      <c r="AA5" s="72" t="n"/>
      <c r="AB5" s="72" t="n"/>
      <c r="AC5" s="72" t="n"/>
    </row>
    <row r="6" ht="86.40000000000001" customHeight="1" s="158">
      <c r="A6" s="150" t="n"/>
      <c r="B6" s="148" t="n"/>
      <c r="C6" s="148" t="inlineStr">
        <is>
          <t>Répartition des responsabilités</t>
        </is>
      </c>
      <c r="D6" s="183" t="inlineStr">
        <is>
          <t>Les responsabilités de chaque acteur sont-elles attribuées pour les principales activités de crise ?</t>
        </is>
      </c>
      <c r="E6" s="21" t="inlineStr">
        <is>
          <t>S’assurer que les responsabilités de chaque acteur sont formalisées pour les activités de crise afin d’assurer coordination et responsabilité.</t>
        </is>
      </c>
      <c r="F6" s="21" t="inlineStr">
        <is>
          <t>Matrice RACI ; répartition des responsabilités ; procédures opérationnelles</t>
        </is>
      </c>
      <c r="G6" s="148" t="inlineStr">
        <is>
          <t>Existe-t-il une repartition des  responsabilite pour chaque acteur et procedure operationelles ?</t>
        </is>
      </c>
      <c r="H6" s="148" t="n"/>
      <c r="I6" s="151" t="inlineStr">
        <is>
          <t>No</t>
        </is>
      </c>
      <c r="J6" s="109" t="n"/>
      <c r="K6" s="72" t="n"/>
      <c r="L6" s="72" t="n"/>
      <c r="M6" s="72" t="n"/>
      <c r="N6" s="72" t="n"/>
      <c r="R6" s="72" t="n"/>
      <c r="S6" s="72" t="n"/>
      <c r="T6" s="72" t="n"/>
      <c r="U6" s="72" t="n"/>
      <c r="V6" s="72" t="n"/>
      <c r="W6" s="106">
        <f>IF(I6="No",ROW(), "")</f>
        <v/>
      </c>
      <c r="X6" s="106">
        <f>IFERROR(INDEX($G$2:$G$100,SMALL($W$2:$W$100,ROWS($X$2:X6))-ROW($G$2)+1),"")</f>
        <v/>
      </c>
      <c r="Y6" s="72" t="n"/>
      <c r="Z6" s="72" t="n"/>
      <c r="AA6" s="72" t="n"/>
      <c r="AB6" s="72" t="n"/>
      <c r="AC6" s="72" t="n"/>
    </row>
    <row r="7" ht="86.40000000000001" customHeight="1" s="158">
      <c r="A7" s="150" t="n"/>
      <c r="B7" s="149" t="n"/>
      <c r="C7" s="148" t="inlineStr">
        <is>
          <t>Autorités décisionnelles</t>
        </is>
      </c>
      <c r="D7" s="21" t="inlineStr">
        <is>
          <t>Les niveaux d’autorité pour décider, arbitrer et valider en situation de crise sont-ils clairement définis ?</t>
        </is>
      </c>
      <c r="E7" s="21" t="inlineStr">
        <is>
          <t>S’assurer que les niveaux d’autorité sont clairement définis afin de permettre une prise de décision rapide et structurée en situation de crise.</t>
        </is>
      </c>
      <c r="F7" s="21" t="inlineStr">
        <is>
          <t>Délégations de pouvoir ; matrice d’autorité ; procédure de décision de crise</t>
        </is>
      </c>
      <c r="G7" s="148" t="inlineStr">
        <is>
          <t>Qui a l'autorite de decision directionnelle en cas de crise cyber? Cette information est t-elle communiqué ?</t>
        </is>
      </c>
      <c r="H7" s="148" t="n"/>
      <c r="I7" s="151" t="inlineStr">
        <is>
          <t>No</t>
        </is>
      </c>
      <c r="J7" s="109" t="n"/>
      <c r="K7" s="72" t="n"/>
      <c r="L7" s="72" t="n"/>
      <c r="M7" s="72" t="n"/>
      <c r="N7" s="72" t="n"/>
      <c r="R7" s="72" t="n"/>
      <c r="S7" s="72" t="n"/>
      <c r="T7" s="72" t="n"/>
      <c r="U7" s="72" t="n"/>
      <c r="V7" s="72" t="n"/>
      <c r="W7" s="106">
        <f>IF(I7="No",ROW(), "")</f>
        <v/>
      </c>
      <c r="X7" s="106">
        <f>IFERROR(INDEX($G$2:$G$100,SMALL($W$2:$W$100,ROWS($X$2:X7))-ROW($G$2)+1),"")</f>
        <v/>
      </c>
      <c r="Y7" s="72" t="n"/>
      <c r="Z7" s="72" t="n"/>
      <c r="AA7" s="72" t="n"/>
      <c r="AB7" s="72" t="n"/>
      <c r="AC7" s="72" t="n"/>
    </row>
    <row r="8" ht="96.59999999999999" customHeight="1" s="158">
      <c r="A8" s="150" t="n"/>
      <c r="B8" s="151" t="inlineStr">
        <is>
          <t>Business Continuity Plans (BCP)</t>
        </is>
      </c>
      <c r="C8" s="151" t="inlineStr">
        <is>
          <t>BCP Structure &amp; Documentation</t>
        </is>
      </c>
      <c r="D8" s="183" t="inlineStr">
        <is>
          <t>Is there a formal, documented Business Continuity Plan?</t>
        </is>
      </c>
      <c r="E8" s="22" t="inlineStr">
        <is>
          <t>Ensure the existence of a formal and documented BCP that defines the organization’s approach to maintaining and restoring operations during disruptions</t>
        </is>
      </c>
      <c r="F8" s="23" t="inlineStr">
        <is>
          <t>PCA/BCP formel approuvé, politique de continuité, manuel de continuité, référentiel documentaire</t>
        </is>
      </c>
      <c r="G8" s="148" t="inlineStr">
        <is>
          <t>Exsite t-il un document formel de plan de contunite d'activite ?</t>
        </is>
      </c>
      <c r="H8" s="148" t="n"/>
      <c r="I8" s="151" t="inlineStr">
        <is>
          <t>No</t>
        </is>
      </c>
      <c r="J8" s="109" t="n"/>
      <c r="K8" s="72" t="n"/>
      <c r="L8" s="72" t="n"/>
      <c r="M8" s="72" t="n"/>
      <c r="N8" s="72" t="n"/>
      <c r="R8" s="72" t="n"/>
      <c r="S8" s="72" t="n"/>
      <c r="T8" s="72" t="n"/>
      <c r="U8" s="72" t="n"/>
      <c r="V8" s="72" t="n"/>
      <c r="W8" s="106">
        <f>IF(I8="No",ROW(), "")</f>
        <v/>
      </c>
      <c r="X8" s="106">
        <f>IFERROR(INDEX($G$2:$G$100,SMALL($W$2:$W$100,ROWS($X$2:X8))-ROW($G$2)+1),"")</f>
        <v/>
      </c>
      <c r="Y8" s="72" t="n"/>
      <c r="Z8" s="72" t="n"/>
      <c r="AA8" s="72" t="n"/>
      <c r="AB8" s="72" t="n"/>
      <c r="AC8" s="72" t="n"/>
    </row>
    <row r="9" ht="69" customHeight="1" s="158">
      <c r="A9" s="150" t="n"/>
      <c r="B9" s="150" t="n"/>
      <c r="C9" s="149" t="n"/>
      <c r="D9" s="24" t="inlineStr">
        <is>
          <t>Are document versions controlled and up to date?</t>
        </is>
      </c>
      <c r="E9" s="24" t="inlineStr">
        <is>
          <t>Ensure proper version control and regular updates of the BCP to maintain accuracy, traceability, and relevance</t>
        </is>
      </c>
      <c r="F9" s="23" t="inlineStr">
        <is>
          <t>Journal des versions, date de mise à jour, validation documentaire, contrôle qualité documentaire</t>
        </is>
      </c>
      <c r="G9" s="148" t="inlineStr">
        <is>
          <t>Les versions des documents sont-elles contrôlées et régulièrement mises à jour ?</t>
        </is>
      </c>
      <c r="H9" s="148" t="n"/>
      <c r="I9" s="151" t="inlineStr">
        <is>
          <t>No</t>
        </is>
      </c>
      <c r="J9" s="109" t="n"/>
      <c r="K9" s="72" t="n"/>
      <c r="L9" s="72" t="n"/>
      <c r="M9" s="72" t="n"/>
      <c r="N9" s="72" t="n"/>
      <c r="R9" s="72" t="n"/>
      <c r="S9" s="72" t="n"/>
      <c r="T9" s="72" t="n"/>
      <c r="U9" s="72" t="n"/>
      <c r="V9" s="72" t="n"/>
      <c r="W9" s="106">
        <f>IF(I9="No",ROW(), "")</f>
        <v/>
      </c>
      <c r="X9" s="106">
        <f>IFERROR(INDEX($G$2:$G$100,SMALL($W$2:$W$100,ROWS($X$2:X9))-ROW($G$2)+1),"")</f>
        <v/>
      </c>
      <c r="Y9" s="72" t="n"/>
      <c r="Z9" s="72" t="n"/>
      <c r="AA9" s="72" t="n"/>
      <c r="AB9" s="72" t="n"/>
      <c r="AC9" s="72" t="n"/>
    </row>
    <row r="10" ht="82.8" customHeight="1" s="158">
      <c r="A10" s="150" t="n"/>
      <c r="B10" s="150" t="n"/>
      <c r="C10" s="152" t="n"/>
      <c r="D10" s="24" t="inlineStr">
        <is>
          <t>Are data backup and restoration procedures documented?</t>
        </is>
      </c>
      <c r="E10" s="24" t="inlineStr">
        <is>
          <t>Ensure that data backup and restoration procedures are formally documented to support effective data recovery in case of disruption.</t>
        </is>
      </c>
      <c r="F10" s="23" t="inlineStr">
        <is>
          <t>Politique de sauvegarde, procédures de restauration, journaux de sauvegarde, rapports de tests</t>
        </is>
      </c>
      <c r="G10" s="148" t="inlineStr">
        <is>
          <t>Les procédures de sauvegarde et de restauration des données sont-elles formellement documentées</t>
        </is>
      </c>
      <c r="H10" s="148" t="n"/>
      <c r="I10" s="151" t="inlineStr">
        <is>
          <t>No</t>
        </is>
      </c>
      <c r="J10" s="109" t="n"/>
      <c r="K10" s="72" t="n"/>
      <c r="L10" s="72" t="n"/>
      <c r="M10" s="72" t="n"/>
      <c r="N10" s="72" t="n"/>
      <c r="R10" s="72" t="n"/>
      <c r="S10" s="72" t="n"/>
      <c r="T10" s="72" t="n"/>
      <c r="U10" s="72" t="n"/>
      <c r="V10" s="72" t="n"/>
      <c r="W10" s="106">
        <f>IF(I10="No",ROW(), "")</f>
        <v/>
      </c>
      <c r="X10" s="106">
        <f>IFERROR(INDEX($G$2:$G$100,SMALL($W$2:$W$100,ROWS($X$2:X10))-ROW($G$2)+1),"")</f>
        <v/>
      </c>
      <c r="Y10" s="72" t="n"/>
      <c r="Z10" s="72" t="n"/>
      <c r="AA10" s="72" t="n"/>
      <c r="AB10" s="72" t="n"/>
      <c r="AC10" s="72" t="n"/>
    </row>
    <row r="11" ht="72" customHeight="1" s="158">
      <c r="A11" s="150" t="n"/>
      <c r="B11" s="150" t="n"/>
      <c r="C11" s="149" t="n"/>
      <c r="D11" s="24" t="inlineStr">
        <is>
          <t>Are recovery strategies defined for each critical process?</t>
        </is>
      </c>
      <c r="E11" s="24" t="inlineStr">
        <is>
          <t>Ensure that appropriate recovery strategies are defined for each critical process to enable effective restoration of operations.</t>
        </is>
      </c>
      <c r="F11" s="23" t="inlineStr">
        <is>
          <t>Fiches stratégies par processus, PCA/PRA détaillés, scénarios de reprise, annexes opérationnelles</t>
        </is>
      </c>
      <c r="G11" s="148" t="inlineStr">
        <is>
          <t>Des stratégies de reprise sont-elles définies pour chaque processus critique</t>
        </is>
      </c>
      <c r="H11" s="148" t="n"/>
      <c r="I11" s="151" t="inlineStr">
        <is>
          <t>No</t>
        </is>
      </c>
      <c r="J11" s="109" t="n"/>
      <c r="K11" s="72" t="n"/>
      <c r="L11" s="72" t="n"/>
      <c r="M11" s="72" t="n"/>
      <c r="N11" s="72" t="n"/>
      <c r="R11" s="72" t="n"/>
      <c r="S11" s="72" t="n"/>
      <c r="T11" s="72" t="n"/>
      <c r="U11" s="72" t="n"/>
      <c r="V11" s="72" t="n"/>
      <c r="W11" s="106">
        <f>IF(I11="No",ROW(), "")</f>
        <v/>
      </c>
      <c r="X11" s="106">
        <f>IFERROR(INDEX($G$2:$G$100,SMALL($W$2:$W$100,ROWS($X$2:X11))-ROW($G$2)+1),"")</f>
        <v/>
      </c>
      <c r="Y11" s="72" t="n"/>
      <c r="Z11" s="72" t="n"/>
      <c r="AA11" s="72" t="n"/>
      <c r="AB11" s="72" t="n"/>
      <c r="AC11" s="72" t="n"/>
    </row>
    <row r="12" ht="72" customHeight="1" s="158">
      <c r="A12" s="150" t="n"/>
      <c r="B12" s="150" t="n"/>
      <c r="C12" s="152" t="n"/>
      <c r="D12" s="24" t="inlineStr">
        <is>
          <t>Are test results documented and analyzed?</t>
        </is>
      </c>
      <c r="E12" s="24" t="inlineStr">
        <is>
          <t>Ensure that test results are formally documented and analyzed to identify gaps and areas for improvement.</t>
        </is>
      </c>
      <c r="F12" s="23" t="inlineStr">
        <is>
          <t>Rapports d’évaluation, indicateurs de test, analyses d’écarts, tableaux de suivi</t>
        </is>
      </c>
      <c r="G12" s="148" t="inlineStr">
        <is>
          <t>Les résultats des tests sont-ils formellement documentés et analysés afin d’identifier les écarts et axes d’amélioration ?</t>
        </is>
      </c>
      <c r="H12" s="148" t="n"/>
      <c r="I12" s="151" t="inlineStr">
        <is>
          <t>No</t>
        </is>
      </c>
      <c r="J12" s="109" t="n"/>
      <c r="K12" s="72" t="n"/>
      <c r="L12" s="72" t="n"/>
      <c r="M12" s="72" t="n"/>
      <c r="N12" s="72" t="n"/>
      <c r="R12" s="72" t="n"/>
      <c r="S12" s="72" t="n"/>
      <c r="T12" s="72" t="n"/>
      <c r="U12" s="72" t="n"/>
      <c r="V12" s="72" t="n"/>
      <c r="W12" s="106">
        <f>IF(I12="No",ROW(), "")</f>
        <v/>
      </c>
      <c r="X12" s="106">
        <f>IFERROR(INDEX($G$2:$G$100,SMALL($W$2:$W$100,ROWS($X$2:X12))-ROW($G$2)+1),"")</f>
        <v/>
      </c>
      <c r="Y12" s="72" t="n"/>
      <c r="Z12" s="72" t="n"/>
      <c r="AA12" s="72" t="n"/>
      <c r="AB12" s="72" t="n"/>
      <c r="AC12" s="72" t="n"/>
    </row>
    <row r="13" ht="69" customHeight="1" s="158">
      <c r="A13" s="150" t="n"/>
      <c r="B13" s="150" t="n"/>
      <c r="C13" s="152" t="n"/>
      <c r="D13" s="24" t="inlineStr">
        <is>
          <t>Are employees aware of the BCP and their roles?</t>
        </is>
      </c>
      <c r="E13" s="24" t="inlineStr">
        <is>
          <t>Ensure that employees are aware of the BCP and understand their roles to enable an effective response during disruptions.</t>
        </is>
      </c>
      <c r="F13" s="23" t="inlineStr">
        <is>
          <t>Supports de sensibilisation, attestations de formation, quiz/exercices, enquêtes de connaissance</t>
        </is>
      </c>
      <c r="G13" s="148" t="inlineStr">
        <is>
          <t>Les employés sont-ils sensibilisés au PCA et à leurs rôles</t>
        </is>
      </c>
      <c r="H13" s="148" t="n"/>
      <c r="I13" s="151" t="inlineStr">
        <is>
          <t>No</t>
        </is>
      </c>
      <c r="J13" s="109" t="n"/>
      <c r="K13" s="72" t="n"/>
      <c r="L13" s="72" t="n"/>
      <c r="M13" s="72" t="n"/>
      <c r="N13" s="72" t="n"/>
      <c r="R13" s="72" t="n"/>
      <c r="S13" s="72" t="n"/>
      <c r="T13" s="72" t="n"/>
      <c r="U13" s="72" t="n"/>
      <c r="V13" s="72" t="n"/>
      <c r="W13" s="106">
        <f>IF(I13="No",ROW(), "")</f>
        <v/>
      </c>
      <c r="X13" s="106">
        <f>IFERROR(INDEX($G$2:$G$100,SMALL($W$2:$W$100,ROWS($X$2:X13))-ROW($G$2)+1),"")</f>
        <v/>
      </c>
      <c r="Y13" s="72" t="n"/>
      <c r="Z13" s="72" t="n"/>
      <c r="AA13" s="72" t="n"/>
      <c r="AB13" s="72" t="n"/>
      <c r="AC13" s="72" t="n"/>
    </row>
    <row r="14" ht="86.40000000000001" customHeight="1" s="158">
      <c r="A14" s="150" t="n"/>
      <c r="B14" s="150" t="n"/>
      <c r="C14" s="151" t="inlineStr">
        <is>
          <t>Communication Management</t>
        </is>
      </c>
      <c r="D14" s="24" t="inlineStr">
        <is>
          <t>Les choix de stratégies sont-ils justifiés (coût, efficacité, risques) ?</t>
        </is>
      </c>
      <c r="E14" s="24" t="inlineStr">
        <is>
          <t>S’assurer que les choix de stratégies de continuité sont justifiés en termes de coût, d’efficacité et de risques afin d’assurer des décisions adaptées et optimisées.</t>
        </is>
      </c>
      <c r="F14" s="23" t="inlineStr">
        <is>
          <t>Études d’options, business case, analyse coûts-bénéfices, analyse de risques, PV de décision/validation</t>
        </is>
      </c>
      <c r="G14" s="148" t="inlineStr">
        <is>
          <t>Les choix de stratégies de continuité sont-ils formellement justifiés (coût, efficacité, risques) afin de garantir des décisions adaptées et optimisées ?</t>
        </is>
      </c>
      <c r="H14" s="148" t="n"/>
      <c r="I14" s="151" t="inlineStr">
        <is>
          <t>No</t>
        </is>
      </c>
      <c r="J14" s="109" t="n"/>
      <c r="K14" s="72" t="n"/>
      <c r="L14" s="72" t="n"/>
      <c r="M14" s="72" t="n"/>
      <c r="N14" s="72" t="n"/>
      <c r="R14" s="72" t="n"/>
      <c r="S14" s="72" t="n"/>
      <c r="T14" s="72" t="n"/>
      <c r="U14" s="72" t="n"/>
      <c r="V14" s="72" t="n"/>
      <c r="W14" s="106">
        <f>IF(I14="No",ROW(), "")</f>
        <v/>
      </c>
      <c r="X14" s="106">
        <f>IFERROR(INDEX($G$2:$G$100,SMALL($W$2:$W$100,ROWS($X$2:X14))-ROW($G$2)+1),"")</f>
        <v/>
      </c>
      <c r="Y14" s="72" t="n"/>
      <c r="Z14" s="72" t="n"/>
      <c r="AA14" s="72" t="n"/>
      <c r="AB14" s="72" t="n"/>
      <c r="AC14" s="72" t="n"/>
    </row>
    <row r="15" ht="82.8" customHeight="1" s="158">
      <c r="A15" s="150" t="n"/>
      <c r="B15" s="150" t="n"/>
      <c r="C15" s="152" t="inlineStr">
        <is>
          <t>Testing &amp; Exercises</t>
        </is>
      </c>
      <c r="D15" s="24" t="inlineStr">
        <is>
          <t>Existe-t-il une grille formelle de qualification des incidents ?</t>
        </is>
      </c>
      <c r="E15" s="24" t="inlineStr">
        <is>
          <t>S’assurer qu’une grille formelle de qualification des incidents est disponible afin de classer et prioriser les incidents de manière cohérente.</t>
        </is>
      </c>
      <c r="F15" s="23" t="inlineStr">
        <is>
          <t>Grille de qualification ; procédure de triage ; guide de classification</t>
        </is>
      </c>
      <c r="G15" s="148" t="inlineStr">
        <is>
          <t>Existe-t-il une grille formelle de qualification des incidents?</t>
        </is>
      </c>
      <c r="H15" s="148" t="n"/>
      <c r="I15" s="151" t="inlineStr">
        <is>
          <t>No</t>
        </is>
      </c>
      <c r="J15" s="109" t="n"/>
      <c r="K15" s="72" t="n"/>
      <c r="L15" s="72" t="n"/>
      <c r="M15" s="72" t="n"/>
      <c r="N15" s="72" t="n"/>
      <c r="R15" s="72" t="n"/>
      <c r="S15" s="72" t="n"/>
      <c r="T15" s="72" t="n"/>
      <c r="U15" s="72" t="n"/>
      <c r="V15" s="72" t="n"/>
      <c r="W15" s="106">
        <f>IF(I15="No",ROW(), "")</f>
        <v/>
      </c>
      <c r="X15" s="106">
        <f>IFERROR(INDEX($G$2:$G$100,SMALL($W$2:$W$100,ROWS($X$2:X15))-ROW($G$2)+1),"")</f>
        <v/>
      </c>
      <c r="Y15" s="72" t="n"/>
      <c r="Z15" s="72" t="n"/>
      <c r="AA15" s="72" t="n"/>
      <c r="AB15" s="72" t="n"/>
      <c r="AC15" s="72" t="n"/>
    </row>
    <row r="16" ht="72" customHeight="1" s="158">
      <c r="A16" s="150" t="n"/>
      <c r="B16" s="150" t="n"/>
      <c r="C16" s="149" t="n"/>
      <c r="D16" s="23" t="inlineStr">
        <is>
          <t>Des seuils d’escalade vers la gestion de crise sont-ils définis ?</t>
        </is>
      </c>
      <c r="E16" s="24" t="inlineStr">
        <is>
          <t>S’assurer que des seuils d’escalade vers la gestion de crise sont définis afin de déclencher rapidement les actions appropriées.</t>
        </is>
      </c>
      <c r="F16" s="23" t="inlineStr">
        <is>
          <t>Seuils d’escalade formalisés ; matrice d’escalade ; procédure d’activation de crise</t>
        </is>
      </c>
      <c r="G16" s="148" t="inlineStr">
        <is>
          <t>Des seuils d’escalade vers la gestion de crise sont-ils définis afin de déclencher rapidement les actions appropriées ?</t>
        </is>
      </c>
      <c r="H16" s="148" t="n"/>
      <c r="I16" s="151" t="inlineStr">
        <is>
          <t>No</t>
        </is>
      </c>
      <c r="J16" s="109" t="n"/>
      <c r="K16" s="72" t="n"/>
      <c r="L16" s="72" t="n"/>
      <c r="M16" s="72" t="n"/>
      <c r="N16" s="72" t="n"/>
      <c r="R16" s="72" t="n"/>
      <c r="S16" s="72" t="n"/>
      <c r="T16" s="72" t="n"/>
      <c r="U16" s="72" t="n"/>
      <c r="V16" s="72" t="n"/>
      <c r="W16" s="106">
        <f>IF(I16="No",ROW(), "")</f>
        <v/>
      </c>
      <c r="X16" s="106">
        <f>IFERROR(INDEX($G$2:$G$100,SMALL($W$2:$W$100,ROWS($X$2:X16))-ROW($G$2)+1),"")</f>
        <v/>
      </c>
      <c r="Y16" s="72" t="n"/>
      <c r="Z16" s="72" t="n"/>
      <c r="AA16" s="72" t="n"/>
      <c r="AB16" s="72" t="n"/>
      <c r="AC16" s="72" t="n"/>
    </row>
    <row r="17" ht="100.8" customHeight="1" s="158">
      <c r="A17" s="150" t="n"/>
      <c r="B17" s="149" t="n"/>
      <c r="C17" s="151" t="inlineStr">
        <is>
          <t>Définition des Stratégies</t>
        </is>
      </c>
      <c r="D17" s="23" t="inlineStr">
        <is>
          <t>Existe-t-il un playbook formel pour les scénarios d’incident majeurs ?</t>
        </is>
      </c>
      <c r="E17" s="24" t="inlineStr">
        <is>
          <t>S’assurer qu’un playbook formel est disponible pour les scénarios d’incidents majeurs afin de guider la réponse et réduire les erreurs.</t>
        </is>
      </c>
      <c r="F17" s="23" t="inlineStr">
        <is>
          <t>Playbooks de réponse ; procédures par scénario ; fiches réflexes</t>
        </is>
      </c>
      <c r="G17" s="148" t="inlineStr">
        <is>
          <t>Existe-t-il des playbooks formels de confinement et de réponse pour les scénarios d’incidents majeurs afin de guider les actions et réduire les erreurs opérationnelles ?</t>
        </is>
      </c>
      <c r="H17" s="148" t="n"/>
      <c r="I17" s="151" t="inlineStr">
        <is>
          <t>No</t>
        </is>
      </c>
      <c r="J17" s="109" t="n"/>
      <c r="K17" s="72" t="n"/>
      <c r="L17" s="72" t="n"/>
      <c r="M17" s="72" t="n"/>
      <c r="N17" s="72" t="n"/>
      <c r="R17" s="72" t="n"/>
      <c r="S17" s="72" t="n"/>
      <c r="T17" s="72" t="n"/>
      <c r="U17" s="72" t="n"/>
      <c r="V17" s="72" t="n"/>
      <c r="W17" s="106">
        <f>IF(I17="No",ROW(), "")</f>
        <v/>
      </c>
      <c r="X17" s="106">
        <f>IFERROR(INDEX($G$2:$G$100,SMALL($W$2:$W$100,ROWS($X$2:X17))-ROW($G$2)+1),"")</f>
        <v/>
      </c>
      <c r="Y17" s="72" t="n"/>
      <c r="Z17" s="72" t="n"/>
      <c r="AA17" s="72" t="n"/>
      <c r="AB17" s="72" t="n"/>
      <c r="AC17" s="72" t="n"/>
    </row>
    <row r="18" ht="86.40000000000001" customHeight="1" s="158">
      <c r="A18" s="150" t="n"/>
      <c r="B18" s="151" t="inlineStr">
        <is>
          <t>STRATÉGIES DE CONTINUITÉ</t>
        </is>
      </c>
      <c r="C18" s="151" t="inlineStr">
        <is>
          <t>Procédure de signalement</t>
        </is>
      </c>
      <c r="D18" s="23" t="inlineStr">
        <is>
          <t>Les actions correctives post-incident sont-elles définies ?</t>
        </is>
      </c>
      <c r="E18" s="24" t="inlineStr">
        <is>
          <t>S’assurer que les actions correctives post-incident sont définies afin de prévenir la récurrence et améliorer la sécurité globale.</t>
        </is>
      </c>
      <c r="F18" s="23" t="inlineStr">
        <is>
          <t>Plan de remédiation ; registre des actions correctives ; suivi des corrections</t>
        </is>
      </c>
      <c r="G18" s="148" t="inlineStr">
        <is>
          <t>Les actions correctives post-incident sont-elles formellement définies et suivies afin de prévenir la récurrence et améliorer la sécurité globale ?</t>
        </is>
      </c>
      <c r="H18" s="148" t="n"/>
      <c r="I18" s="151" t="inlineStr">
        <is>
          <t>Yes</t>
        </is>
      </c>
      <c r="J18" s="109" t="n"/>
      <c r="K18" s="72" t="n"/>
      <c r="L18" s="72" t="n"/>
      <c r="M18" s="72" t="n"/>
      <c r="N18" s="72" t="n"/>
      <c r="R18" s="72" t="n"/>
      <c r="S18" s="72" t="n"/>
      <c r="T18" s="72" t="n"/>
      <c r="U18" s="72" t="n"/>
      <c r="V18" s="72" t="n"/>
      <c r="W18" s="106">
        <f>IF(I18="No",ROW(), "")</f>
        <v/>
      </c>
      <c r="X18" s="106">
        <f>IFERROR(INDEX($G$2:$G$100,SMALL($W$2:$W$100,ROWS($X$2:X18))-ROW($G$2)+1),"")</f>
        <v/>
      </c>
      <c r="Y18" s="72" t="n"/>
      <c r="Z18" s="72" t="n"/>
      <c r="AA18" s="72" t="n"/>
      <c r="AB18" s="72" t="n"/>
      <c r="AC18" s="72" t="n"/>
    </row>
    <row r="19" ht="115.2" customHeight="1" s="158">
      <c r="A19" s="150" t="n"/>
      <c r="B19" s="151" t="inlineStr">
        <is>
          <t>Détection et signalement</t>
        </is>
      </c>
      <c r="C19" s="151" t="inlineStr">
        <is>
          <t>Grille de qualification</t>
        </is>
      </c>
      <c r="D19" s="24" t="inlineStr">
        <is>
          <t>Les liens entre gestion de crise, gestion des incidents, continuité d’activité et sécurité sont-ils formalisés ?</t>
        </is>
      </c>
      <c r="E19" s="22" t="inlineStr">
        <is>
          <t>S’assurer que les liens entre gestion de crise, gestion des incidents, continuité d’activité et sécurité sont formalisés afin de garantir une coordination efficace et une réponse cohérente face aux disruptions.</t>
        </is>
      </c>
      <c r="F19" s="23" t="inlineStr">
        <is>
          <t>Schéma de gouvernance ; matrice d’articulation entre dispositifs ; procédure transversale validée</t>
        </is>
      </c>
      <c r="G19" s="148" t="inlineStr">
        <is>
          <t>Les liens entre la gestion de crise, la gestion des incidents, la continuité d’activité et la sécurité sont-ils formalisés afin d’assurer une coordination efficace et une réponse cohérente aux disruptions ?</t>
        </is>
      </c>
      <c r="H19" s="148" t="n"/>
      <c r="I19" s="151" t="inlineStr">
        <is>
          <t>Yes</t>
        </is>
      </c>
      <c r="J19" s="109" t="n"/>
      <c r="K19" s="72" t="n"/>
      <c r="L19" s="72" t="n"/>
      <c r="M19" s="72" t="n"/>
      <c r="N19" s="72" t="n"/>
      <c r="R19" s="72" t="n"/>
      <c r="S19" s="72" t="n"/>
      <c r="T19" s="72" t="n"/>
      <c r="U19" s="72" t="n"/>
      <c r="V19" s="72" t="n"/>
      <c r="W19" s="106">
        <f>IF(I19="No",ROW(), "")</f>
        <v/>
      </c>
      <c r="X19" s="106">
        <f>IFERROR(INDEX($G$2:$G$100,SMALL($W$2:$W$100,ROWS($X$2:X19))-ROW($G$2)+1),"")</f>
        <v/>
      </c>
      <c r="Y19" s="72" t="n"/>
      <c r="Z19" s="72" t="n"/>
      <c r="AA19" s="72" t="n"/>
      <c r="AB19" s="72" t="n"/>
      <c r="AC19" s="72" t="n"/>
    </row>
    <row r="20" ht="115.2" customHeight="1" s="158">
      <c r="A20" s="150" t="n"/>
      <c r="B20" s="151" t="inlineStr">
        <is>
          <t>Qualification et triage</t>
        </is>
      </c>
      <c r="C20" s="151" t="inlineStr">
        <is>
          <t>Critères de gravité</t>
        </is>
      </c>
      <c r="D20" s="24" t="inlineStr">
        <is>
          <t>Le cadre formel de gouvernance de gestion de crise cyber est-il documenté, daté et approuvé par l’autorité compétente ?</t>
        </is>
      </c>
      <c r="E20" s="23" t="inlineStr">
        <is>
          <t>S’assurer que le cadre de gouvernance de gestion de crise cyber est formellement documenté, daté et approuvé afin de garantir sa validité, sa légitimité et son application.</t>
        </is>
      </c>
      <c r="F20" s="23" t="inlineStr">
        <is>
          <t>Cadre de gouvernance approuvé ; note de validation signée ; version datée du document</t>
        </is>
      </c>
      <c r="G20" s="148" t="inlineStr">
        <is>
          <t>Le cadre de gouvernance de la gestion de crise cyber est-il formellement documenté, daté et approuvé par l’autorité compétente ?</t>
        </is>
      </c>
      <c r="H20" s="148" t="n"/>
      <c r="I20" s="151" t="inlineStr">
        <is>
          <t>Yes</t>
        </is>
      </c>
      <c r="J20" s="109" t="n"/>
      <c r="K20" s="72" t="n"/>
      <c r="L20" s="72" t="n"/>
      <c r="M20" s="72" t="n"/>
      <c r="N20" s="72" t="n"/>
      <c r="R20" s="72" t="n"/>
      <c r="S20" s="72" t="n"/>
      <c r="T20" s="72" t="n"/>
      <c r="U20" s="72" t="n"/>
      <c r="V20" s="72" t="n"/>
      <c r="W20" s="106">
        <f>IF(I20="No",ROW(), "")</f>
        <v/>
      </c>
      <c r="X20" s="106">
        <f>IFERROR(INDEX($G$2:$G$100,SMALL($W$2:$W$100,ROWS($X$2:X20))-ROW($G$2)+1),"")</f>
        <v/>
      </c>
      <c r="Y20" s="72" t="n"/>
      <c r="Z20" s="72" t="n"/>
      <c r="AA20" s="72" t="n"/>
      <c r="AB20" s="72" t="n"/>
      <c r="AC20" s="72" t="n"/>
    </row>
    <row r="21" ht="86.40000000000001" customHeight="1" s="158">
      <c r="A21" s="150" t="n"/>
      <c r="B21" s="150" t="n"/>
      <c r="C21" s="178" t="inlineStr">
        <is>
          <t>Seuils d’escalade</t>
        </is>
      </c>
      <c r="D21" s="24" t="inlineStr">
        <is>
          <t>Existe-t-il une périodicité formelle de révision du cadre de gouvernance et les dernières versions sont-elles datées et tracées ?</t>
        </is>
      </c>
      <c r="E21" s="23" t="inlineStr">
        <is>
          <t>S’assurer qu’une périodicité de révision est définie et respectée afin de maintenir le cadre de gouvernance à jour et adapté aux évolutions.</t>
        </is>
      </c>
      <c r="F21" s="23" t="inlineStr">
        <is>
          <t>Calendrier de révision ; historique des versions ; journal des modifications</t>
        </is>
      </c>
      <c r="G21" s="148" t="inlineStr">
        <is>
          <t>Une périodicité de révision du cadre de gouvernance est-elle définie et respectée, et les versions sont-elles tracées et à jour ?</t>
        </is>
      </c>
      <c r="H21" s="148" t="n"/>
      <c r="I21" s="151" t="inlineStr">
        <is>
          <t>Yes</t>
        </is>
      </c>
      <c r="J21" s="109" t="n"/>
      <c r="K21" s="72" t="n"/>
      <c r="L21" s="72" t="n"/>
      <c r="M21" s="72" t="n"/>
      <c r="N21" s="72" t="n"/>
      <c r="R21" s="72" t="n"/>
      <c r="S21" s="72" t="n"/>
      <c r="T21" s="72" t="n"/>
      <c r="U21" s="72" t="n"/>
      <c r="V21" s="72" t="n"/>
      <c r="W21" s="106">
        <f>IF(I21="No",ROW(), "")</f>
        <v/>
      </c>
      <c r="X21" s="106">
        <f>IFERROR(INDEX($G$2:$G$100,SMALL($W$2:$W$100,ROWS($X$2:X21))-ROW($G$2)+1),"")</f>
        <v/>
      </c>
      <c r="Y21" s="72" t="n"/>
      <c r="Z21" s="72" t="n"/>
      <c r="AA21" s="72" t="n"/>
      <c r="AB21" s="72" t="n"/>
      <c r="AC21" s="72" t="n"/>
    </row>
    <row r="22" ht="100.8" customHeight="1" s="158">
      <c r="A22" s="150" t="n"/>
      <c r="B22" s="150" t="n"/>
      <c r="C22" s="178" t="inlineStr">
        <is>
          <t>Rôles de triage</t>
        </is>
      </c>
      <c r="D22" s="24" t="inlineStr">
        <is>
          <t>Le cadre de gouvernance est-il communiqué aux parties prenantes concernées et cette diffusion est-elle traçable ?</t>
        </is>
      </c>
      <c r="E22" s="23" t="inlineStr">
        <is>
          <t>S’assurer que le cadre de gouvernance est communiqué aux parties prenantes et que cette diffusion est traçable afin de garantir sa bonne appropriation.</t>
        </is>
      </c>
      <c r="F22" s="23" t="inlineStr">
        <is>
          <t>Liste de diffusion ; emails de communication ; accusés de réception ou feuilles de diffusion</t>
        </is>
      </c>
      <c r="G22" s="148" t="inlineStr">
        <is>
          <t>Le cadre de gouvernance est-il communiqué aux parties prenantes concernées et cette diffusion est-elle traçable ?</t>
        </is>
      </c>
      <c r="H22" s="148" t="n"/>
      <c r="I22" s="151" t="inlineStr">
        <is>
          <t>Yes</t>
        </is>
      </c>
      <c r="J22" s="109" t="n"/>
      <c r="K22" s="72" t="n"/>
      <c r="L22" s="72" t="n"/>
      <c r="M22" s="72" t="n"/>
      <c r="N22" s="72" t="n"/>
      <c r="R22" s="72" t="n"/>
      <c r="S22" s="72" t="n"/>
      <c r="T22" s="72" t="n"/>
      <c r="U22" s="72" t="n"/>
      <c r="V22" s="72" t="n"/>
      <c r="W22" s="106">
        <f>IF(I22="No",ROW(), "")</f>
        <v/>
      </c>
      <c r="X22" s="106">
        <f>IFERROR(INDEX($G$2:$G$100,SMALL($W$2:$W$100,ROWS($X$2:X22))-ROW($G$2)+1),"")</f>
        <v/>
      </c>
      <c r="Y22" s="72" t="n"/>
      <c r="Z22" s="72" t="n"/>
      <c r="AA22" s="72" t="n"/>
      <c r="AB22" s="72" t="n"/>
      <c r="AC22" s="72" t="n"/>
    </row>
    <row r="23" ht="115.2" customHeight="1" s="158">
      <c r="A23" s="150" t="n"/>
      <c r="B23" s="149" t="n"/>
      <c r="C23" s="178" t="inlineStr">
        <is>
          <t>Playbook de confinement</t>
        </is>
      </c>
      <c r="D23" s="24" t="inlineStr">
        <is>
          <t>Le personnel clé a-t-il reçu une formation sur la communication de crise ?</t>
        </is>
      </c>
      <c r="E23" s="25" t="inlineStr">
        <is>
          <t>S’assurer que le personnel clé est formé à la communication de crise afin de garantir une diffusion d’informations claire, cohérente et maîtrisée en situation de crise.</t>
        </is>
      </c>
      <c r="F23" s="23" t="inlineStr">
        <is>
          <t>Plan de formation ; feuilles de présence ; supports de sensibilisation</t>
        </is>
      </c>
      <c r="G23" s="148" t="inlineStr">
        <is>
          <t>Le personnel clé a-t-il reçu une formation sur la communication de crise afin de garantir une communication claire, cohérente et maîtrisée en situation de crise ?</t>
        </is>
      </c>
      <c r="H23" s="148" t="n"/>
      <c r="I23" s="151" t="inlineStr">
        <is>
          <t>Yes</t>
        </is>
      </c>
      <c r="J23" s="109" t="n"/>
      <c r="K23" s="72" t="n"/>
      <c r="L23" s="72" t="n"/>
      <c r="M23" s="72" t="n"/>
      <c r="N23" s="72" t="n"/>
      <c r="R23" s="72" t="n"/>
      <c r="S23" s="72" t="n"/>
      <c r="T23" s="72" t="n"/>
      <c r="U23" s="72" t="n"/>
      <c r="V23" s="72" t="n"/>
      <c r="W23" s="106">
        <f>IF(I23="No",ROW(), "")</f>
        <v/>
      </c>
      <c r="X23" s="106">
        <f>IFERROR(INDEX($G$2:$G$100,SMALL($W$2:$W$100,ROWS($X$2:X23))-ROW($G$2)+1),"")</f>
        <v/>
      </c>
      <c r="Y23" s="72" t="n"/>
      <c r="Z23" s="72" t="n"/>
      <c r="AA23" s="72" t="n"/>
      <c r="AB23" s="72" t="n"/>
      <c r="AC23" s="72" t="n"/>
    </row>
    <row r="24" ht="69" customHeight="1" s="158">
      <c r="A24" s="150" t="n"/>
      <c r="B24" s="151" t="n"/>
      <c r="C24" s="151" t="inlineStr">
        <is>
          <t xml:space="preserve">Articulation avec les dispositifs connexes </t>
        </is>
      </c>
      <c r="D24" s="24" t="inlineStr">
        <is>
          <t>Do members have the required skills and competencies for their roles?</t>
        </is>
      </c>
      <c r="E24" s="24" t="inlineStr">
        <is>
          <t>S’assurer que les membres possèdent les compétences et savoir-faire requis pour leurs rôles afin d’assurer une réponse efficace.</t>
        </is>
      </c>
      <c r="F24" s="23" t="inlineStr">
        <is>
          <t>Matrice de compétences ; fiches de poste ; attestations de formation</t>
        </is>
      </c>
      <c r="G24" s="148" t="inlineStr">
        <is>
          <t>Les membres disposent-ils des compétences et aptitudes requises pour leurs rôles ?</t>
        </is>
      </c>
      <c r="H24" s="148" t="n"/>
      <c r="I24" s="151" t="inlineStr">
        <is>
          <t>Yes</t>
        </is>
      </c>
      <c r="J24" s="109" t="n"/>
      <c r="K24" s="72" t="n"/>
      <c r="L24" s="72" t="n"/>
      <c r="M24" s="72" t="n"/>
      <c r="N24" s="72" t="n"/>
      <c r="R24" s="72" t="n"/>
      <c r="S24" s="72" t="n"/>
      <c r="T24" s="72" t="n"/>
      <c r="U24" s="72" t="n"/>
      <c r="V24" s="72" t="n"/>
      <c r="W24" s="106">
        <f>IF(I24="No",ROW(), "")</f>
        <v/>
      </c>
      <c r="X24" s="106">
        <f>IFERROR(INDEX($G$2:$G$100,SMALL($W$2:$W$100,ROWS($X$2:X24))-ROW($G$2)+1),"")</f>
        <v/>
      </c>
      <c r="Y24" s="72" t="n"/>
      <c r="Z24" s="72" t="n"/>
      <c r="AA24" s="72" t="n"/>
      <c r="AB24" s="72" t="n"/>
      <c r="AC24" s="72" t="n"/>
    </row>
    <row r="25" ht="86.40000000000001" customHeight="1" s="158">
      <c r="A25" s="150" t="n"/>
      <c r="B25" s="149" t="n"/>
      <c r="C25" s="151" t="inlineStr">
        <is>
          <t>Existence et approbation du cadre de gouvernance</t>
        </is>
      </c>
      <c r="D25" s="24" t="inlineStr">
        <is>
          <t>Are the members of the cell appointed formally?</t>
        </is>
      </c>
      <c r="E25" s="24" t="inlineStr">
        <is>
          <t>S’assurer que les membres de la cellule sont officiellement nommés afin de garantir responsabilité et clarté dans la structure de crise.</t>
        </is>
      </c>
      <c r="F25" s="23" t="inlineStr">
        <is>
          <t>Décision de nomination ; liste officielle des membres ; organigramme de crise</t>
        </is>
      </c>
      <c r="G25" s="148" t="inlineStr">
        <is>
          <t>Les membres de la cellule de crise sont-ils formellement désignés afin d’assurer une responsabilité claire et une structure de gouvernance définie</t>
        </is>
      </c>
      <c r="H25" s="148" t="n"/>
      <c r="I25" s="151" t="inlineStr">
        <is>
          <t>Yes</t>
        </is>
      </c>
      <c r="J25" s="109" t="n"/>
      <c r="K25" s="72" t="n"/>
      <c r="L25" s="72" t="n"/>
      <c r="M25" s="72" t="n"/>
      <c r="N25" s="72" t="n"/>
      <c r="R25" s="72" t="n"/>
      <c r="S25" s="72" t="n"/>
      <c r="T25" s="72" t="n"/>
      <c r="U25" s="72" t="n"/>
      <c r="V25" s="72" t="n"/>
      <c r="W25" s="106">
        <f>IF(I25="No",ROW(), "")</f>
        <v/>
      </c>
      <c r="X25" s="106">
        <f>IFERROR(INDEX($G$2:$G$100,SMALL($W$2:$W$100,ROWS($X$2:X25))-ROW($G$2)+1),"")</f>
        <v/>
      </c>
      <c r="Y25" s="72" t="n"/>
      <c r="Z25" s="72" t="n"/>
      <c r="AA25" s="72" t="n"/>
      <c r="AB25" s="72" t="n"/>
      <c r="AC25" s="72" t="n"/>
    </row>
    <row r="26" ht="86.40000000000001" customHeight="1" s="158">
      <c r="A26" s="150" t="n"/>
      <c r="B26" s="151" t="n"/>
      <c r="C26" s="151" t="inlineStr">
        <is>
          <t>Diffusion du cadre aux parties prenantes concernées</t>
        </is>
      </c>
      <c r="D26" s="24" t="inlineStr">
        <is>
          <t>Existe-t-il des procédures pour évaluer la gravité d’un incident avant activation ?</t>
        </is>
      </c>
      <c r="E26" s="24" t="inlineStr">
        <is>
          <t>S’assurer que des procédures sont en place pour évaluer la gravité d’un incident avant activation afin de déclencher la cellule de crise de manière appropriée.</t>
        </is>
      </c>
      <c r="F26" s="23" t="inlineStr">
        <is>
          <t>Procédure d’évaluation ; grille de gravité ; procédure d’activation</t>
        </is>
      </c>
      <c r="G26" s="148" t="inlineStr">
        <is>
          <t>Les événements ou critères déclenchant l’activation de la cellule de crise sont-ils clairement définis afin d’assurer une réponse rapide et cohérente ?</t>
        </is>
      </c>
      <c r="H26" s="148" t="n"/>
      <c r="I26" s="151" t="inlineStr">
        <is>
          <t>Yes</t>
        </is>
      </c>
      <c r="J26" s="109" t="n"/>
      <c r="K26" s="72" t="n"/>
      <c r="L26" s="72" t="n"/>
      <c r="M26" s="72" t="n"/>
      <c r="N26" s="72" t="n"/>
      <c r="R26" s="72" t="n"/>
      <c r="S26" s="72" t="n"/>
      <c r="T26" s="72" t="n"/>
      <c r="U26" s="72" t="n"/>
      <c r="V26" s="72" t="n"/>
      <c r="W26" s="106">
        <f>IF(I26="No",ROW(), "")</f>
        <v/>
      </c>
      <c r="X26" s="106">
        <f>IFERROR(INDEX($G$2:$G$100,SMALL($W$2:$W$100,ROWS($X$2:X26))-ROW($G$2)+1),"")</f>
        <v/>
      </c>
      <c r="Y26" s="72" t="n"/>
      <c r="Z26" s="72" t="n"/>
      <c r="AA26" s="72" t="n"/>
      <c r="AB26" s="72" t="n"/>
      <c r="AC26" s="72" t="n"/>
    </row>
    <row r="27" ht="86.40000000000001" customHeight="1" s="158">
      <c r="A27" s="150" t="n"/>
      <c r="B27" s="150" t="n"/>
      <c r="C27" s="151" t="inlineStr">
        <is>
          <t>Coordination et Information</t>
        </is>
      </c>
      <c r="D27" s="24" t="inlineStr">
        <is>
          <t>Existe-t-il des pénalités en cas de non-respect des exigences ?</t>
        </is>
      </c>
      <c r="E27" s="24" t="inlineStr">
        <is>
          <t>Ensure that penalties exist for non-compliance to enforce adherence to evidence management requirements.</t>
        </is>
      </c>
      <c r="F27" s="23" t="inlineStr">
        <is>
          <t>Clauses contractuelles ; SLA ; clauses de pénalité</t>
        </is>
      </c>
      <c r="G27" s="148" t="inlineStr">
        <is>
          <t>Des pénalités sont-elles prévues en cas de non-respect des exigences afin de garantir la conformité aux obligations de gestion des preuves ?</t>
        </is>
      </c>
      <c r="H27" s="148" t="n"/>
      <c r="I27" s="151" t="inlineStr">
        <is>
          <t>Yes</t>
        </is>
      </c>
      <c r="J27" s="109" t="n"/>
      <c r="K27" s="72" t="n"/>
      <c r="L27" s="72" t="n"/>
      <c r="M27" s="72" t="n"/>
      <c r="N27" s="72" t="n"/>
      <c r="R27" s="72" t="n"/>
      <c r="S27" s="72" t="n"/>
      <c r="T27" s="72" t="n"/>
      <c r="U27" s="72" t="n"/>
      <c r="V27" s="72" t="n"/>
      <c r="W27" s="106">
        <f>IF(I27="No",ROW(), "")</f>
        <v/>
      </c>
      <c r="X27" s="106">
        <f>IFERROR(INDEX($G$2:$G$100,SMALL($W$2:$W$100,ROWS($X$2:X27))-ROW($G$2)+1),"")</f>
        <v/>
      </c>
      <c r="Y27" s="72" t="n"/>
      <c r="Z27" s="72" t="n"/>
      <c r="AA27" s="72" t="n"/>
      <c r="AB27" s="72" t="n"/>
      <c r="AC27" s="72" t="n"/>
    </row>
    <row r="28" ht="86.40000000000001" customHeight="1" s="158">
      <c r="A28" s="150" t="n"/>
      <c r="B28" s="149" t="n"/>
      <c r="C28" s="149" t="n"/>
      <c r="D28" s="24" t="inlineStr">
        <is>
          <t>Les contrats incluent-ils des exigences de performance et de sécurité ?</t>
        </is>
      </c>
      <c r="E28" s="24" t="inlineStr">
        <is>
          <t>Ensure that contracts with service providers include performance and security requirements to safeguard evidence handling.</t>
        </is>
      </c>
      <c r="F28" s="23" t="inlineStr">
        <is>
          <t>Contrats fournisseurs ; exigences de sécurité ; annexes SLA/Security</t>
        </is>
      </c>
      <c r="G28" s="148" t="inlineStr">
        <is>
          <t>Les contrats avec les prestataires incluent-ils des exigences de performance et de sécurité afin de protéger la gestion et le traitement des preuves ?</t>
        </is>
      </c>
      <c r="H28" s="148" t="n"/>
      <c r="I28" s="151" t="inlineStr">
        <is>
          <t>Yes</t>
        </is>
      </c>
      <c r="J28" s="109" t="n"/>
      <c r="K28" s="72" t="n"/>
      <c r="L28" s="72" t="n"/>
      <c r="M28" s="72" t="n"/>
      <c r="N28" s="72" t="n"/>
      <c r="R28" s="72" t="n"/>
      <c r="S28" s="72" t="n"/>
      <c r="T28" s="72" t="n"/>
      <c r="U28" s="72" t="n"/>
      <c r="V28" s="72" t="n"/>
      <c r="W28" s="106">
        <f>IF(I28="No",ROW(), "")</f>
        <v/>
      </c>
      <c r="X28" s="106">
        <f>IFERROR(INDEX($G$2:$G$100,SMALL($W$2:$W$100,ROWS($X$2:X28))-ROW($G$2)+1),"")</f>
        <v/>
      </c>
      <c r="Y28" s="72" t="n"/>
      <c r="Z28" s="72" t="n"/>
      <c r="AA28" s="72" t="n"/>
      <c r="AB28" s="72" t="n"/>
      <c r="AC28" s="72" t="n"/>
    </row>
    <row r="29" ht="86.40000000000001" customHeight="1" s="158">
      <c r="A29" s="150" t="n"/>
      <c r="B29" s="151" t="inlineStr">
        <is>
          <t>Revue de direction et supervision</t>
        </is>
      </c>
      <c r="C29" s="151" t="inlineStr">
        <is>
          <t>Membership &amp; Roles</t>
        </is>
      </c>
      <c r="D29" s="24" t="inlineStr">
        <is>
          <t>Les prestataires doivent-ils fournir des rapports d’audit ou certifications ?</t>
        </is>
      </c>
      <c r="E29" s="24" t="inlineStr">
        <is>
          <t>Ensure that service providers are required to provide audit reports or certifications to verify compliance and reliability.</t>
        </is>
      </c>
      <c r="F29" s="23" t="inlineStr">
        <is>
          <t>Clauses d’audit ; rapports d’audit ; certificats de conformité</t>
        </is>
      </c>
      <c r="G29" s="148" t="inlineStr">
        <is>
          <t>Les prestataires sont-ils tenus de fournir des rapports d’audit ou des certifications afin de démontrer leur conformité et leur fiabilité ?</t>
        </is>
      </c>
      <c r="H29" s="148" t="n"/>
      <c r="I29" s="151" t="inlineStr">
        <is>
          <t>Yes</t>
        </is>
      </c>
      <c r="J29" s="109" t="n"/>
      <c r="K29" s="72" t="n"/>
      <c r="L29" s="72" t="n"/>
      <c r="M29" s="72" t="n"/>
      <c r="N29" s="72" t="n"/>
      <c r="R29" s="72" t="n"/>
      <c r="S29" s="72" t="n"/>
      <c r="T29" s="72" t="n"/>
      <c r="U29" s="72" t="n"/>
      <c r="V29" s="72" t="n"/>
      <c r="W29" s="106">
        <f>IF(I29="No",ROW(), "")</f>
        <v/>
      </c>
      <c r="X29" s="106">
        <f>IFERROR(INDEX($G$2:$G$100,SMALL($W$2:$W$100,ROWS($X$2:X29))-ROW($G$2)+1),"")</f>
        <v/>
      </c>
      <c r="Y29" s="72" t="n"/>
      <c r="Z29" s="72" t="n"/>
      <c r="AA29" s="72" t="n"/>
      <c r="AB29" s="72" t="n"/>
      <c r="AC29" s="72" t="n"/>
    </row>
    <row r="30" ht="82.8" customHeight="1" s="158">
      <c r="A30" s="150" t="n"/>
      <c r="B30" s="150" t="n"/>
      <c r="C30" s="149" t="n"/>
      <c r="D30" s="24" t="inlineStr">
        <is>
          <t>Existe-t-il une politique formelle de conservation des preuves numériques ?</t>
        </is>
      </c>
      <c r="E30" s="24" t="inlineStr">
        <is>
          <t>Ensure a formal digital evidence retention policy exists to guarantee proper handling, preservation, and management of digital evidence.</t>
        </is>
      </c>
      <c r="F30" s="23" t="inlineStr">
        <is>
          <t>Politique de conservation des preuves ; procédure forensique ; note d’approbation</t>
        </is>
      </c>
      <c r="G30" s="148" t="inlineStr">
        <is>
          <t>Existe-t-il une politique formelle de conservation des preuves numériques ?</t>
        </is>
      </c>
      <c r="H30" s="148" t="n"/>
      <c r="I30" s="151" t="inlineStr">
        <is>
          <t>Yes</t>
        </is>
      </c>
      <c r="J30" s="109" t="n"/>
      <c r="K30" s="72" t="n"/>
      <c r="L30" s="72" t="n"/>
      <c r="R30" s="72" t="n"/>
      <c r="S30" s="72" t="n"/>
      <c r="T30" s="72" t="n"/>
      <c r="U30" s="72" t="n"/>
      <c r="V30" s="72" t="n"/>
      <c r="W30" s="106">
        <f>IF(I30="No",ROW(), "")</f>
        <v/>
      </c>
      <c r="X30" s="106">
        <f>IFERROR(INDEX($G$2:$G$100,SMALL($W$2:$W$100,ROWS($X$2:X30))-ROW($G$2)+1),"")</f>
        <v/>
      </c>
      <c r="Y30" s="72" t="n"/>
      <c r="Z30" s="72" t="n"/>
      <c r="AA30" s="72" t="n"/>
      <c r="AB30" s="72" t="n"/>
      <c r="AC30" s="72" t="n"/>
    </row>
    <row r="31" ht="69" customHeight="1" s="158">
      <c r="A31" s="150" t="n"/>
      <c r="B31" s="149" t="n"/>
      <c r="C31" s="151" t="n"/>
      <c r="D31" s="24" t="inlineStr">
        <is>
          <t>Cette durée respecte-t-elle les exigences légales et réglementaires (ISO 27001)</t>
        </is>
      </c>
      <c r="E31" s="24" t="inlineStr">
        <is>
          <t>Ensure that evidence retention duration complies with legal and regulatory requirements (e.g., ISO 27001).</t>
        </is>
      </c>
      <c r="F31" s="23" t="inlineStr">
        <is>
          <t>Politique de rétention ; matrice de conformité ; avis juridique ou conformité</t>
        </is>
      </c>
      <c r="G31" s="148" t="inlineStr">
        <is>
          <t>La durée de conservation respecte-t-elle les exigences légales et réglementaires (ISO 27001) ?</t>
        </is>
      </c>
      <c r="H31" s="148" t="n"/>
      <c r="I31" s="151" t="inlineStr">
        <is>
          <t>Yes</t>
        </is>
      </c>
      <c r="J31" s="109" t="n"/>
      <c r="K31" s="72" t="n"/>
      <c r="L31" s="72" t="n"/>
      <c r="R31" s="72" t="n"/>
      <c r="S31" s="72" t="n"/>
      <c r="T31" s="72" t="n"/>
      <c r="U31" s="72" t="n"/>
      <c r="V31" s="72" t="n"/>
      <c r="W31" s="106">
        <f>IF(I31="No",ROW(), "")</f>
        <v/>
      </c>
      <c r="X31" s="106">
        <f>IFERROR(INDEX($G$2:$G$100,SMALL($W$2:$W$100,ROWS($X$2:X31))-ROW($G$2)+1),"")</f>
        <v/>
      </c>
      <c r="Y31" s="72" t="n"/>
      <c r="Z31" s="72" t="n"/>
      <c r="AA31" s="72" t="n"/>
      <c r="AB31" s="72" t="n"/>
      <c r="AC31" s="72" t="n"/>
    </row>
    <row r="32" ht="69" customHeight="1" s="158">
      <c r="A32" s="150" t="n"/>
      <c r="B32" s="151" t="inlineStr">
        <is>
          <t>Communication de crise</t>
        </is>
      </c>
      <c r="C32" s="151" t="inlineStr">
        <is>
          <t>Coordination &amp; Escalation</t>
        </is>
      </c>
      <c r="D32" s="24" t="inlineStr">
        <is>
          <t>Les preuves sont-elles conservées suffisamment longtemps pour les enquêtes ?</t>
        </is>
      </c>
      <c r="E32" s="24" t="inlineStr">
        <is>
          <t>Ensure that evidence is retained long enough to support thorough investigations and legal proceedings.</t>
        </is>
      </c>
      <c r="F32" s="23" t="inlineStr">
        <is>
          <t>Tableau des durées de conservation ; exigences d’enquête ; registre d’archivage</t>
        </is>
      </c>
      <c r="G32" s="150" t="n"/>
      <c r="H32" s="148" t="n"/>
      <c r="I32" s="151" t="inlineStr">
        <is>
          <t>Yes</t>
        </is>
      </c>
      <c r="J32" s="109" t="n"/>
      <c r="W32" s="106">
        <f>IF(I32="No",ROW(), "")</f>
        <v/>
      </c>
      <c r="X32" s="106">
        <f>IFERROR(INDEX($G$2:$G$100,SMALL($W$2:$W$100,ROWS($X$2:X32))-ROW($G$2)+1),"")</f>
        <v/>
      </c>
    </row>
    <row r="33" ht="55.2" customHeight="1" s="158">
      <c r="A33" s="150" t="n"/>
      <c r="B33" s="149" t="n"/>
      <c r="C33" s="151" t="inlineStr">
        <is>
          <t>Process &amp; Procedures</t>
        </is>
      </c>
      <c r="D33" s="24" t="inlineStr">
        <is>
          <t>Une durée de conservation des preuves est-elle définie ?</t>
        </is>
      </c>
      <c r="E33" s="24" t="inlineStr">
        <is>
          <t>Ensure that a defined retention period for evidence is established to guide proper management.</t>
        </is>
      </c>
      <c r="F33" s="23" t="inlineStr">
        <is>
          <t>Politique de rétention ; calendrier de conservation ; procédure d’archivage</t>
        </is>
      </c>
      <c r="G33" s="149" t="n"/>
      <c r="H33" s="148" t="n"/>
      <c r="I33" s="151" t="inlineStr">
        <is>
          <t>Yes</t>
        </is>
      </c>
      <c r="J33" s="109" t="n"/>
      <c r="W33" s="106">
        <f>IF(I33="No",ROW(), "")</f>
        <v/>
      </c>
      <c r="X33" s="106">
        <f>IFERROR(INDEX($G$2:$G$100,SMALL($W$2:$W$100,ROWS($X$2:X33))-ROW($G$2)+1),"")</f>
        <v/>
      </c>
    </row>
    <row r="34" ht="69" customHeight="1" s="158">
      <c r="A34" s="150" t="n"/>
      <c r="B34" s="151" t="inlineStr">
        <is>
          <t>Organisation et fonctionnement de la cellule</t>
        </is>
      </c>
      <c r="C34" s="67" t="n"/>
      <c r="D34" s="24" t="inlineStr">
        <is>
          <t>Les procédures respectent-elles les bonnes pratiques forensiques (ISO 27037) ?</t>
        </is>
      </c>
      <c r="E34" s="24" t="inlineStr">
        <is>
          <t>Ensure that procedures follow forensic best practices (e.g., ISO 27037) to maintain credibility and legal admissibility.</t>
        </is>
      </c>
      <c r="F34" s="23" t="inlineStr">
        <is>
          <t>Procédure forensique ; référentiel de bonnes pratiques ; mode opératoire d’investigation</t>
        </is>
      </c>
      <c r="G34" s="148" t="inlineStr">
        <is>
          <t>Les procédures respectent-elles les bonnes pratiques forensiques (ISO 27037) ?</t>
        </is>
      </c>
      <c r="H34" s="148" t="n"/>
      <c r="I34" s="151" t="inlineStr">
        <is>
          <t>Yes</t>
        </is>
      </c>
      <c r="J34" s="109" t="n"/>
      <c r="W34" s="106">
        <f>IF(I34="No",ROW(), "")</f>
        <v/>
      </c>
      <c r="X34" s="106">
        <f>IFERROR(INDEX($G$2:$G$100,SMALL($W$2:$W$100,ROWS($X$2:X34))-ROW($G$2)+1),"")</f>
        <v/>
      </c>
    </row>
    <row r="35" ht="69" customHeight="1" s="158">
      <c r="A35" s="150" t="n"/>
      <c r="B35" s="150" t="n"/>
      <c r="C35" s="151" t="inlineStr">
        <is>
          <t>Audit et droit de contrôle</t>
        </is>
      </c>
      <c r="D35" s="24" t="inlineStr">
        <is>
          <t>Les preuves sont-elles exploitables dans un cadre légal (admissibilité) ?</t>
        </is>
      </c>
      <c r="E35" s="24" t="inlineStr">
        <is>
          <t>Ensure that collected evidence is legally admissible to support investigations and potential legal action.</t>
        </is>
      </c>
      <c r="F35" s="23" t="inlineStr">
        <is>
          <t>Chaîne de possession ; avis juridique ; dossier de preuve documenté</t>
        </is>
      </c>
      <c r="G35" s="148" t="inlineStr">
        <is>
          <t>Les preuves sont-elles exploitables dans un cadre légal (admissibilité) ?</t>
        </is>
      </c>
      <c r="H35" s="148" t="n"/>
      <c r="I35" s="151" t="inlineStr">
        <is>
          <t>Yes</t>
        </is>
      </c>
      <c r="J35" s="109" t="n"/>
      <c r="W35" s="106">
        <f>IF(I35="No",ROW(), "")</f>
        <v/>
      </c>
      <c r="X35" s="106">
        <f>IFERROR(INDEX($G$2:$G$100,SMALL($W$2:$W$100,ROWS($X$2:X35))-ROW($G$2)+1),"")</f>
        <v/>
      </c>
    </row>
    <row r="36" ht="232.05" customHeight="1" s="158">
      <c r="A36" s="150" t="n"/>
      <c r="B36" s="150" t="n"/>
      <c r="C36" s="150" t="n"/>
      <c r="D36" s="178" t="inlineStr">
        <is>
          <t xml:space="preserve">interdit à tout chargé de l’exécution des ordonnances judiciaires relatives à l’accès aux données stockées au niveau du système d’information ou à la collecte de données du flux de trafic ou à l’interception de communications, ou celui auquel il est fait recours pour cette tâche, de divulguer le secret professionnel dans tout ce qui concerne les dispositions et les modalités appliquées ou les informations ou données </t>
        </is>
      </c>
      <c r="E36" s="151" t="inlineStr">
        <is>
          <t>S’assurer que la confidentialité des opérations liées à l’accès, la collecte et l’interception des données est strictement respectée afin de protéger le secret professionnel et les informations sensibles</t>
        </is>
      </c>
      <c r="F36" s="151" t="inlineStr">
        <is>
          <t>Declaration signe de charge des son premier jour de sa prise en charge de travaille</t>
        </is>
      </c>
      <c r="G36" s="151" t="inlineStr">
        <is>
          <t>La confidentialité des opérations d’accès, de collecte et d’interception des données est-elle strictement respectée afin de protéger le secret professionnel ?</t>
        </is>
      </c>
      <c r="H36" s="151" t="n"/>
      <c r="I36" s="151" t="inlineStr">
        <is>
          <t>Yes</t>
        </is>
      </c>
      <c r="W36" s="106">
        <f>IF(I36="No",ROW(), "")</f>
        <v/>
      </c>
      <c r="X36" s="106">
        <f>IFERROR(INDEX($G$2:$G$100,SMALL($W$2:$W$100,ROWS($X$2:X36))-ROW($G$2)+1),"")</f>
        <v/>
      </c>
    </row>
    <row r="37">
      <c r="A37" s="149" t="n"/>
      <c r="B37" s="149" t="n"/>
      <c r="C37" s="149" t="n"/>
      <c r="D37" s="149" t="n"/>
      <c r="E37" s="149" t="n"/>
      <c r="F37" s="149" t="n"/>
      <c r="G37" s="149" t="n"/>
      <c r="H37" s="149" t="n"/>
      <c r="I37" s="149" t="n"/>
      <c r="J37" s="109" t="n"/>
      <c r="W37" s="72">
        <f>IF(I39="No",ROW(), "")</f>
        <v/>
      </c>
      <c r="X37" s="72">
        <f>IFERROR(INDEX($G$2:$G$100,SMALL($W$2:$W$100,ROWS($X$2:X37))-ROW($G$2)+1),"")</f>
        <v/>
      </c>
    </row>
    <row r="38">
      <c r="J38" s="109" t="n"/>
      <c r="X38" s="72">
        <f>IFERROR(INDEX($G$2:$G$100,SMALL($W$2:$W$100,ROWS($X$2:X38))-ROW($G$2)+1),"")</f>
        <v/>
      </c>
    </row>
    <row r="39">
      <c r="X39" s="72">
        <f>IFERROR(INDEX($G$2:$G$100,SMALL($W$2:$W$100,ROWS($X$2:X39))-ROW($G$2)+1),"")</f>
        <v/>
      </c>
    </row>
  </sheetData>
  <mergeCells count="24">
    <mergeCell ref="A2:A37"/>
    <mergeCell ref="F36:F37"/>
    <mergeCell ref="C29:C30"/>
    <mergeCell ref="I36:I37"/>
    <mergeCell ref="C10:C11"/>
    <mergeCell ref="M1:N1"/>
    <mergeCell ref="D36:D37"/>
    <mergeCell ref="B2:B5"/>
    <mergeCell ref="G31:G33"/>
    <mergeCell ref="B26:B28"/>
    <mergeCell ref="H36:H37"/>
    <mergeCell ref="B8:B17"/>
    <mergeCell ref="B6:B7"/>
    <mergeCell ref="B24:B25"/>
    <mergeCell ref="C8:C9"/>
    <mergeCell ref="B34:B37"/>
    <mergeCell ref="C27:C28"/>
    <mergeCell ref="E36:E37"/>
    <mergeCell ref="C35:C37"/>
    <mergeCell ref="B32:B33"/>
    <mergeCell ref="B20:B23"/>
    <mergeCell ref="B29:B31"/>
    <mergeCell ref="C15:C16"/>
    <mergeCell ref="G36:G37"/>
  </mergeCells>
  <conditionalFormatting sqref="A1:D1">
    <cfRule type="expression" priority="7" dxfId="6">
      <formula>$A1="header"</formula>
    </cfRule>
  </conditionalFormatting>
  <conditionalFormatting sqref="A1:I1">
    <cfRule type="expression" priority="5" dxfId="5">
      <formula>$A1="header"</formula>
    </cfRule>
    <cfRule type="expression" priority="6" dxfId="4">
      <formula>$A1="blank"</formula>
    </cfRule>
  </conditionalFormatting>
  <conditionalFormatting sqref="I2:I36">
    <cfRule type="cellIs" priority="1" operator="equal" dxfId="3">
      <formula>"N/A"</formula>
    </cfRule>
    <cfRule type="cellIs" priority="2" operator="equal" dxfId="2">
      <formula>"N/A"</formula>
    </cfRule>
    <cfRule type="cellIs" priority="3" operator="equal" dxfId="1">
      <formula>"No"</formula>
    </cfRule>
    <cfRule type="cellIs" priority="4" operator="equal" dxfId="0">
      <formula>"Yes"</formula>
    </cfRule>
  </conditionalFormatting>
  <dataValidations count="2">
    <dataValidation sqref="I2:I36" showDropDown="0" showInputMessage="1" showErrorMessage="1" allowBlank="1" type="list">
      <formula1>"Yes,No,N/A"</formula1>
    </dataValidation>
    <dataValidation sqref="U2" showDropDown="0" showInputMessage="1" showErrorMessage="1" allowBlank="1" type="list">
      <formula1>"Oumayma,Dhia"</formula1>
    </dataValidation>
  </dataValidations>
  <pageMargins left="0.7" right="0.7" top="0.75" bottom="0.75" header="0.3" footer="0.3"/>
  <pageSetup orientation="portrait" paperSize="9" horizontalDpi="0" verticalDpi="0" copies="2"/>
</worksheet>
</file>

<file path=xl/worksheets/sheet5.xml><?xml version="1.0" encoding="utf-8"?>
<worksheet xmlns="http://schemas.openxmlformats.org/spreadsheetml/2006/main">
  <sheetPr>
    <tabColor theme="9" tint="-0.249977111117893"/>
    <outlinePr summaryBelow="1" summaryRight="1"/>
    <pageSetUpPr/>
  </sheetPr>
  <dimension ref="A1:U26"/>
  <sheetViews>
    <sheetView topLeftCell="K1" zoomScale="64" zoomScaleNormal="95" workbookViewId="0">
      <selection activeCell="T5" sqref="T5"/>
    </sheetView>
  </sheetViews>
  <sheetFormatPr baseColWidth="10" defaultRowHeight="14.4"/>
  <cols>
    <col width="31.6640625" customWidth="1" style="158" min="2" max="2"/>
    <col width="22.21875" customWidth="1" style="158" min="3" max="3"/>
    <col width="23.21875" customWidth="1" style="158" min="4" max="4"/>
    <col width="27" customWidth="1" style="158" min="5" max="5"/>
    <col width="32.21875" customWidth="1" style="158" min="6" max="6"/>
    <col width="31.44140625" customWidth="1" style="158" min="7" max="7"/>
    <col width="50.33203125" customWidth="1" style="158" min="8" max="9"/>
    <col width="7.44140625" customWidth="1" style="158" min="11" max="11"/>
    <col width="16.109375" customWidth="1" style="158" min="12" max="12"/>
    <col width="19.5546875" customWidth="1" style="158" min="13" max="13"/>
    <col width="30.21875" customWidth="1" style="158" min="14" max="14"/>
    <col width="25.77734375" customWidth="1" style="158" min="15" max="15"/>
    <col width="28.88671875" customWidth="1" style="158" min="16" max="16"/>
    <col width="19.109375" customWidth="1" style="158" min="17" max="17"/>
    <col width="38.5546875" customWidth="1" style="158" min="18" max="18"/>
    <col width="112.44140625" customWidth="1" style="158" min="21" max="21"/>
  </cols>
  <sheetData>
    <row r="1" ht="15" customHeight="1" s="158" thickBot="1">
      <c r="J1" s="109" t="n"/>
      <c r="K1" s="109" t="n"/>
      <c r="L1" s="109" t="n"/>
      <c r="M1" s="109" t="n"/>
      <c r="N1" s="109" t="n"/>
      <c r="O1" s="109" t="n"/>
      <c r="P1" s="109" t="n"/>
      <c r="Q1" s="109" t="n"/>
      <c r="R1" s="109" t="n"/>
    </row>
    <row r="2" ht="40.95" customHeight="1" s="158" thickBot="1">
      <c r="A2" s="109" t="n"/>
      <c r="B2" s="109" t="n"/>
      <c r="C2" s="109" t="n"/>
      <c r="D2" s="109" t="n"/>
      <c r="E2" s="109" t="n"/>
      <c r="F2" s="109" t="n"/>
      <c r="G2" s="109" t="n"/>
      <c r="H2" s="109" t="n"/>
      <c r="I2" s="109" t="n"/>
      <c r="K2" s="109" t="n"/>
      <c r="L2" s="155" t="inlineStr">
        <is>
          <t>Nb Question</t>
        </is>
      </c>
      <c r="M2" s="156" t="n"/>
      <c r="N2" s="92" t="inlineStr">
        <is>
          <t>Nb App</t>
        </is>
      </c>
      <c r="O2" s="47" t="inlineStr">
        <is>
          <t>Yes</t>
        </is>
      </c>
      <c r="P2" s="47" t="inlineStr">
        <is>
          <t>No</t>
        </is>
      </c>
      <c r="Q2" s="47" t="inlineStr">
        <is>
          <t>N/A</t>
        </is>
      </c>
      <c r="R2" s="47" t="inlineStr">
        <is>
          <t>SCORE DU DOMAIN</t>
        </is>
      </c>
    </row>
    <row r="3" ht="14.55" customHeight="1" s="158">
      <c r="A3" s="109" t="n"/>
      <c r="B3" s="4" t="inlineStr">
        <is>
          <t>Domaine</t>
        </is>
      </c>
      <c r="C3" s="4" t="inlineStr">
        <is>
          <t>Sous Domaine</t>
        </is>
      </c>
      <c r="D3" s="4" t="inlineStr">
        <is>
          <t>Catégorie de contrôle</t>
        </is>
      </c>
      <c r="E3" s="4" t="inlineStr">
        <is>
          <t>Contrôle</t>
        </is>
      </c>
      <c r="F3" s="4" t="inlineStr">
        <is>
          <t>Objectif</t>
        </is>
      </c>
      <c r="G3" s="10" t="inlineStr">
        <is>
          <t>Preuves possibles</t>
        </is>
      </c>
      <c r="H3" s="4" t="inlineStr">
        <is>
          <t>Question finale</t>
        </is>
      </c>
      <c r="I3" s="4" t="n"/>
      <c r="J3" s="4" t="inlineStr">
        <is>
          <t>Result</t>
        </is>
      </c>
      <c r="K3" s="109" t="n"/>
      <c r="L3" s="166">
        <f>COUNTA(H4:H25)</f>
        <v/>
      </c>
      <c r="M3" s="167" t="n"/>
      <c r="N3" s="181">
        <f>L3-Q3</f>
        <v/>
      </c>
      <c r="O3" s="175">
        <f>COUNTIF(J4:J21,"Yes")</f>
        <v/>
      </c>
      <c r="P3" s="172">
        <f>COUNTIF(J4:J21,"No")</f>
        <v/>
      </c>
      <c r="Q3" s="160">
        <f>COUNTIF(J4:J21,"N/A")</f>
        <v/>
      </c>
      <c r="R3" s="165">
        <f>O3/N3</f>
        <v/>
      </c>
      <c r="T3" s="120" t="n"/>
      <c r="U3" s="120" t="n"/>
    </row>
    <row r="4" ht="94.5" customHeight="1" s="158">
      <c r="A4" s="109" t="n"/>
      <c r="B4" s="152" t="inlineStr">
        <is>
          <t>Gestion de CRISE</t>
        </is>
      </c>
      <c r="C4" s="151" t="inlineStr">
        <is>
          <t>Communication de crise</t>
        </is>
      </c>
      <c r="D4" s="151" t="inlineStr">
        <is>
          <t>Coordination et Information</t>
        </is>
      </c>
      <c r="E4" s="179" t="inlineStr">
        <is>
          <t>Quels canaux de communication sont prévus pour la diffusion externe/interne  ?</t>
        </is>
      </c>
      <c r="F4" s="9" t="inlineStr">
        <is>
          <t>S’assurer que des canaux de communication externes sont prévus afin de diffuser rapidement et clairement les informations aux parties prenantes externes.</t>
        </is>
      </c>
      <c r="G4" s="7" t="inlineStr">
        <is>
          <t>Plan de communication de crise ; liste des canaux externes ; modèles de communiqués</t>
        </is>
      </c>
      <c r="H4" s="148" t="inlineStr">
        <is>
          <t>What communication channels are established for use in the event of an cybercrise?</t>
        </is>
      </c>
      <c r="I4" s="148" t="inlineStr">
        <is>
          <t xml:space="preserve">ISO/IEC 27002:2022, 5.24 / 5.26 / 5.14 ; NIST SP 800-61 Rev.3 / NIST CSF 2.0, RS.CO
</t>
        </is>
      </c>
      <c r="J4" s="151" t="inlineStr">
        <is>
          <t>N/A</t>
        </is>
      </c>
      <c r="K4" s="109" t="n"/>
      <c r="L4" s="168" t="n"/>
      <c r="M4" s="169" t="n"/>
      <c r="N4" s="161" t="n"/>
      <c r="O4" s="161" t="n"/>
      <c r="P4" s="161" t="n"/>
      <c r="Q4" s="161" t="n"/>
      <c r="R4" s="161" t="n"/>
      <c r="T4" s="152">
        <f>IF(J4="No",ROW(), "")</f>
        <v/>
      </c>
      <c r="U4" s="152">
        <f>IFERROR(INDEX($H$4:$H$100,SMALL($T$4:$T$100,ROWS($U$4:U4))-ROW($H$4)+1),"")</f>
        <v/>
      </c>
    </row>
    <row r="5" ht="81" customHeight="1" s="158" thickBot="1">
      <c r="A5" s="109" t="n"/>
      <c r="B5" s="150" t="n"/>
      <c r="C5" s="150" t="n"/>
      <c r="D5" s="149" t="n"/>
      <c r="E5" s="149" t="n"/>
      <c r="F5" s="9" t="inlineStr">
        <is>
          <t>S’assurer que des canaux de communication internes sont prévus afin de tenir informé le personnel et les parties prenantes internes.</t>
        </is>
      </c>
      <c r="G5" s="7" t="inlineStr">
        <is>
          <t>Procédure de communication interne ; annuaire de diffusion ; canaux d’alerte définis</t>
        </is>
      </c>
      <c r="H5" s="149" t="n"/>
      <c r="I5" s="148" t="inlineStr">
        <is>
          <t>ISO/IEC 27002:2022, 5.24 / 5.26 / 6.3 / 6.8 ; NIST SP 800-61 Rev.3 / NIST CSF 2.0, RS.CO</t>
        </is>
      </c>
      <c r="J5" s="149" t="n"/>
      <c r="K5" s="109" t="n"/>
      <c r="L5" s="170" t="n"/>
      <c r="M5" s="171" t="n"/>
      <c r="N5" s="162" t="n"/>
      <c r="O5" s="162" t="n"/>
      <c r="P5" s="162" t="n"/>
      <c r="Q5" s="162" t="n"/>
      <c r="R5" s="162" t="n"/>
      <c r="T5" s="152">
        <f>IF(J5="No",ROW(), "")</f>
        <v/>
      </c>
      <c r="U5" s="152">
        <f>IFERROR(INDEX($H$4:$H$100,SMALL($T$4:$T$100,ROWS($U$4:U5))-ROW($H$4)+1),"")</f>
        <v/>
      </c>
    </row>
    <row r="6" ht="111" customHeight="1" s="158" thickBot="1">
      <c r="A6" s="109" t="n"/>
      <c r="B6" s="150" t="n"/>
      <c r="C6" s="149" t="n"/>
      <c r="D6" s="2" t="inlineStr">
        <is>
          <t>Continuité de la communication</t>
        </is>
      </c>
      <c r="E6" s="179" t="inlineStr">
        <is>
          <t>Mise en place de canaux de communication alternatifs et sécurisés en cas de compromission des systèmes internes</t>
        </is>
      </c>
      <c r="F6" s="9" t="inlineStr">
        <is>
          <t>S’assurer que la communication interne et externe peut être maintenue même en cas d’indisponibilité ou de compromission des systèmes d’information</t>
        </is>
      </c>
      <c r="G6" s="7" t="inlineStr">
        <is>
          <t>Plan de communication de crise ; liste des canaux alternatifs (messagerie externe, téléphones, outils hors SI interne) ; procédures de bascule ; tests de continuité</t>
        </is>
      </c>
      <c r="H6" s="148" t="inlineStr">
        <is>
          <t>La communication peut-elle être maintenue si les systèmes internes sont compromis ?</t>
        </is>
      </c>
      <c r="I6" s="148" t="inlineStr">
        <is>
          <t>ISO/IEC 27002:2022, 5.29 / 5.30 / 5.14 ; NIST CSF 2.0, PR.IR / RS.CO / RC.CO</t>
        </is>
      </c>
      <c r="J6" s="151" t="inlineStr">
        <is>
          <t>No</t>
        </is>
      </c>
      <c r="K6" s="109" t="n"/>
      <c r="L6" s="55" t="n"/>
      <c r="N6" s="55" t="n"/>
      <c r="O6" s="55" t="n"/>
      <c r="P6" s="55" t="n"/>
      <c r="Q6" s="55" t="n"/>
      <c r="R6" s="109" t="n"/>
      <c r="T6" s="152">
        <f>IF(J6="No",ROW(), "")</f>
        <v/>
      </c>
      <c r="U6" s="152">
        <f>IFERROR(INDEX($H$4:$H$100,SMALL($T$4:$T$100,ROWS($U$4:U6))-ROW($H$4)+1),"")</f>
        <v/>
      </c>
    </row>
    <row r="7" ht="61.95" customHeight="1" s="158" thickBot="1">
      <c r="A7" s="109" t="n"/>
      <c r="B7" s="150" t="n"/>
      <c r="C7" s="151" t="inlineStr">
        <is>
          <t>Organisation et fonctionnement de la cellule</t>
        </is>
      </c>
      <c r="D7" s="151" t="inlineStr">
        <is>
          <t>Structure</t>
        </is>
      </c>
      <c r="E7" s="179" t="inlineStr">
        <is>
          <t>La cellule de gestion de crise est-elle formellement établie au sein de l’organisation ?</t>
        </is>
      </c>
      <c r="F7" s="182" t="inlineStr">
        <is>
          <t>S’assurer que la cellule de gestion de crise est formellement établie au sein de l’organisation afin de garantir sa légitimité, sa structure et une autorité claire pour la gestion des situations de crise.</t>
        </is>
      </c>
      <c r="G7" s="180" t="inlineStr">
        <is>
          <t>Charte de cellule de crise ; note de gouvernance ; document d’organisation validé</t>
        </is>
      </c>
      <c r="H7" s="148" t="inlineStr">
        <is>
          <t>Les membres de la cellule de crise sont-ils identifiés (IT, sécurité, juridique, communication, direction) ?</t>
        </is>
      </c>
      <c r="I7" s="148" t="inlineStr">
        <is>
          <t>ISO/IEC 27002:2022, 5.2 / 5.4 / 5.24 ; NIST CSF 2.0, GV.RR / RS.MA</t>
        </is>
      </c>
      <c r="J7" s="151" t="inlineStr">
        <is>
          <t>No</t>
        </is>
      </c>
      <c r="K7" s="109" t="n"/>
      <c r="L7" s="73" t="inlineStr">
        <is>
          <t>Auditeur</t>
        </is>
      </c>
      <c r="M7" s="99" t="inlineStr">
        <is>
          <t>Oumayma</t>
        </is>
      </c>
      <c r="N7" s="109" t="n"/>
      <c r="O7" s="89" t="n"/>
      <c r="T7" s="152">
        <f>IF(J7="No",ROW(), "")</f>
        <v/>
      </c>
      <c r="U7" s="152">
        <f>IFERROR(INDEX($H$4:$H$100,SMALL($T$4:$T$100,ROWS($U$4:U7))-ROW($H$4)+1),"")</f>
        <v/>
      </c>
    </row>
    <row r="8" ht="53.55" customHeight="1" s="158">
      <c r="A8" s="109" t="n"/>
      <c r="B8" s="150" t="n"/>
      <c r="C8" s="149" t="n"/>
      <c r="D8" s="149" t="n"/>
      <c r="E8" s="149" t="n"/>
      <c r="F8" s="149" t="n"/>
      <c r="G8" s="149" t="n"/>
      <c r="H8" s="148" t="inlineStr">
        <is>
          <t>Les rôles et responsabilités sont-ils clairement définis et compris ? Existe-t-il des remplaçants en cas d’indisponibilité ?</t>
        </is>
      </c>
      <c r="I8" s="148" t="inlineStr">
        <is>
          <t>ISO/IEC 27002:2022, 5.2 / 5.4 / 5.24 ; NIST CSF 2.0, GV.RR / RS.MA</t>
        </is>
      </c>
      <c r="J8" s="151" t="inlineStr">
        <is>
          <t>No</t>
        </is>
      </c>
      <c r="K8" s="109" t="n"/>
      <c r="L8" s="109" t="n"/>
      <c r="M8" s="109" t="n"/>
      <c r="N8" s="109" t="n"/>
      <c r="O8" s="90" t="n"/>
      <c r="T8" s="152">
        <f>IF(J8="No",ROW(), "")</f>
        <v/>
      </c>
      <c r="U8" s="152">
        <f>IFERROR(INDEX($H$4:$H$100,SMALL($T$4:$T$100,ROWS($U$4:U8))-ROW($H$4)+1),"")</f>
        <v/>
      </c>
    </row>
    <row r="9" ht="57.6" customHeight="1" s="158">
      <c r="A9" s="109" t="n"/>
      <c r="B9" s="150" t="n"/>
      <c r="C9" s="151" t="inlineStr">
        <is>
          <t>Détection et déclenchement de crise</t>
        </is>
      </c>
      <c r="D9" s="152" t="inlineStr">
        <is>
          <t>Surveillance</t>
        </is>
      </c>
      <c r="E9" s="35" t="inlineStr">
        <is>
          <t>Mise en place d’outils de monitoring en temps réel (SIEM, EDR, NDR)</t>
        </is>
      </c>
      <c r="F9" s="2" t="inlineStr">
        <is>
          <t>Assurer une détection rapide et proactive des incidents majeurs</t>
        </is>
      </c>
      <c r="G9" s="2" t="inlineStr">
        <is>
          <t>Outils SIEM/EDR/NDR ; tableaux de bord de supervision ; alertes en temps réel ; procédures de surveillance</t>
        </is>
      </c>
      <c r="H9" s="2" t="inlineStr">
        <is>
          <t>Les outils de monitoring permettent-ils une détection en temps réel des incidents majeurs ?</t>
        </is>
      </c>
      <c r="I9" s="2" t="inlineStr">
        <is>
          <t>ISO/IEC 27002:2022, 8.15 / 8.16 / 8.17 ; NIST CSF 2.0, DE.CM / DE.AE</t>
        </is>
      </c>
      <c r="J9" s="151" t="inlineStr">
        <is>
          <t>No</t>
        </is>
      </c>
      <c r="K9" s="109" t="n"/>
      <c r="L9" s="109" t="n"/>
      <c r="M9" s="109" t="n"/>
      <c r="N9" s="109" t="n"/>
      <c r="O9" s="109" t="n"/>
      <c r="T9" s="152">
        <f>IF(J9="No",ROW(), "")</f>
        <v/>
      </c>
      <c r="U9" s="152">
        <f>IFERROR(INDEX($H$4:$H$100,SMALL($T$4:$T$100,ROWS($U$4:U9))-ROW($H$4)+1),"")</f>
        <v/>
      </c>
    </row>
    <row r="10" ht="58.05" customHeight="1" s="158">
      <c r="A10" s="109" t="n"/>
      <c r="B10" s="150" t="n"/>
      <c r="C10" s="152" t="inlineStr">
        <is>
          <t>Procédures de réponse</t>
        </is>
      </c>
      <c r="D10" s="151" t="inlineStr">
        <is>
          <t>Opérationnelle</t>
        </is>
      </c>
      <c r="E10" s="2" t="inlineStr">
        <is>
          <t>Définition de procédures d’isolement des systèmes compromis</t>
        </is>
      </c>
      <c r="F10" s="2" t="inlineStr">
        <is>
          <t>Réduire la propagation des incidents et limiter leur impact</t>
        </is>
      </c>
      <c r="G10" s="2" t="inlineStr">
        <is>
          <t>Procédures d’isolement ; playbooks SOC ; journaux d’intervention ; rapports d’incident</t>
        </is>
      </c>
      <c r="H10" s="2" t="inlineStr">
        <is>
          <t>Combien de temps faut-il en moyenne pour isoler un système compromis ?</t>
        </is>
      </c>
      <c r="I10" s="2" t="inlineStr">
        <is>
          <t>ISO/IEC 27002:2022, 5.26 / 8.7 / 8.20 / 8.22 ; NIST SP 800-61 Rev.3 / NIST CSF 2.0, RS.MI</t>
        </is>
      </c>
      <c r="J10" s="151" t="inlineStr">
        <is>
          <t>No</t>
        </is>
      </c>
      <c r="K10" s="109" t="n"/>
      <c r="L10" s="109" t="n"/>
      <c r="M10" s="109" t="n"/>
      <c r="N10" s="109" t="n"/>
      <c r="O10" s="109" t="n"/>
      <c r="T10" s="152">
        <f>IF(J10="No",ROW(), "")</f>
        <v/>
      </c>
      <c r="U10" s="152">
        <f>IFERROR(INDEX($H$4:$H$100,SMALL($T$4:$T$100,ROWS($U$4:U10))-ROW($H$4)+1),"")</f>
        <v/>
      </c>
    </row>
    <row r="11" ht="43.2" customHeight="1" s="158">
      <c r="A11" s="109" t="n"/>
      <c r="B11" s="150" t="n"/>
      <c r="C11" s="149" t="n"/>
      <c r="D11" s="149" t="n"/>
      <c r="E11" s="2" t="inlineStr">
        <is>
          <t>Élaboration et mise à disposition de runbooks pour les scénarios cyber majeurs</t>
        </is>
      </c>
      <c r="F11" s="2" t="inlineStr">
        <is>
          <t>Standardiser et accélérer la réponse aux incidents critiques</t>
        </is>
      </c>
      <c r="G11" s="2" t="inlineStr">
        <is>
          <t>Runbooks documentés ; playbooks d’intervention ; documentation SOC ; guides opérationnels</t>
        </is>
      </c>
      <c r="H11" s="2" t="inlineStr">
        <is>
          <t>Des runbooks sont-ils disponibles pour les scénarios cyber majeurs</t>
        </is>
      </c>
      <c r="I11" s="2" t="inlineStr">
        <is>
          <t>ISO/IEC 27002:2022, 5.26 / 5.37 ; NIST SP 800-61 Rev.3 / NIST CSF 2.0, RS.MA / RS.MI</t>
        </is>
      </c>
      <c r="J11" s="151" t="inlineStr">
        <is>
          <t>No</t>
        </is>
      </c>
      <c r="K11" s="109" t="n"/>
      <c r="L11" s="109" t="n"/>
      <c r="M11" s="109" t="n"/>
      <c r="N11" s="109" t="n"/>
      <c r="O11" s="109" t="n"/>
      <c r="T11" s="152">
        <f>IF(J11="No",ROW(), "")</f>
        <v/>
      </c>
      <c r="U11" s="152">
        <f>IFERROR(INDEX($H$4:$H$100,SMALL($T$4:$T$100,ROWS($U$4:U11))-ROW($H$4)+1),"")</f>
        <v/>
      </c>
    </row>
    <row r="12" ht="52.05" customHeight="1" s="158">
      <c r="A12" s="109" t="n"/>
      <c r="B12" s="150" t="n"/>
      <c r="C12" s="152" t="inlineStr">
        <is>
          <t>Coordination externe</t>
        </is>
      </c>
      <c r="D12" s="152" t="inlineStr">
        <is>
          <t>CERT</t>
        </is>
      </c>
      <c r="E12" s="2" t="inlineStr">
        <is>
          <t>Contractualisation avec un prestataire de réponse à incident (IR)</t>
        </is>
      </c>
      <c r="F12" s="2" t="inlineStr">
        <is>
          <t>Garantir un support expert en cas de crise cyber majeure</t>
        </is>
      </c>
      <c r="G12" s="2" t="inlineStr">
        <is>
          <t>Contrats IR ; SLA ; coordonnées du prestataire ; procédures d’escalade</t>
        </is>
      </c>
      <c r="H12" s="2" t="inlineStr">
        <is>
          <t>Un prestataire de réponse à incident (IR) est-il contractuellement prévu ?</t>
        </is>
      </c>
      <c r="I12" s="2" t="inlineStr">
        <is>
          <t>ISO/IEC 27002:2022, 5.19 / 5.20 / 5.21 / 5.22 ; NIST CSF 2.0, GV.SC / RS.MA</t>
        </is>
      </c>
      <c r="J12" s="151" t="inlineStr">
        <is>
          <t>No</t>
        </is>
      </c>
      <c r="L12" s="109" t="n"/>
      <c r="M12" s="109" t="n"/>
      <c r="N12" s="109" t="n"/>
      <c r="O12" s="109" t="n"/>
      <c r="T12" s="152">
        <f>IF(J12="No",ROW(), "")</f>
        <v/>
      </c>
      <c r="U12" s="152">
        <f>IFERROR(INDEX($H$4:$H$100,SMALL($T$4:$T$100,ROWS($U$4:U12))-ROW($H$4)+1),"")</f>
        <v/>
      </c>
    </row>
    <row r="13" ht="58.5" customHeight="1" s="158">
      <c r="A13" s="109" t="n"/>
      <c r="B13" s="150" t="n"/>
      <c r="C13" s="150" t="n"/>
      <c r="D13" s="149" t="n"/>
      <c r="E13" s="2" t="inlineStr">
        <is>
          <t>Mise en place de mécanismes de communication avec CERT/autorités</t>
        </is>
      </c>
      <c r="F13" s="2" t="inlineStr">
        <is>
          <t>Faciliter la collaboration avec les autorités compétentes</t>
        </is>
      </c>
      <c r="G13" s="2" t="inlineStr">
        <is>
          <t>Procédures de notification ; registre réglementaire ; rapports de conformité</t>
        </is>
      </c>
      <c r="H13" s="2" t="inlineStr">
        <is>
          <t>Existe-t-il un mécanisme de communication avec CERT/autorités ?</t>
        </is>
      </c>
      <c r="I13" s="2" t="inlineStr">
        <is>
          <t>ISO/IEC 27002:2022, 5.5 / 5.6 / 5.24 / 6.8 ; NIST SP 800-61 Rev.3 / NIST CSF 2.0, RS.CO</t>
        </is>
      </c>
      <c r="J13" s="151" t="inlineStr">
        <is>
          <t>No</t>
        </is>
      </c>
      <c r="L13" s="109" t="n"/>
      <c r="M13" s="109" t="n"/>
      <c r="N13" s="109" t="n"/>
      <c r="O13" s="109" t="n"/>
      <c r="T13" s="152">
        <f>IF(J13="No",ROW(), "")</f>
        <v/>
      </c>
      <c r="U13" s="152">
        <f>IFERROR(INDEX($H$4:$H$100,SMALL($T$4:$T$100,ROWS($U$4:U13))-ROW($H$4)+1),"")</f>
        <v/>
      </c>
    </row>
    <row r="14" ht="53.55" customHeight="1" s="158">
      <c r="A14" s="109" t="n"/>
      <c r="B14" s="150" t="n"/>
      <c r="C14" s="149" t="n"/>
      <c r="D14" s="152" t="inlineStr">
        <is>
          <t>Fournisseurs</t>
        </is>
      </c>
      <c r="E14" s="2" t="inlineStr">
        <is>
          <t>Intégration des parties prenantes externes dans la gestion de crise</t>
        </is>
      </c>
      <c r="F14" s="2" t="inlineStr">
        <is>
          <t>Assurer une coordination efficace avec fournisseurs et partenaires</t>
        </is>
      </c>
      <c r="G14" s="2" t="inlineStr">
        <is>
          <t>Plan de gestion de crise ; liste des contacts ; procédures de coordination externe</t>
        </is>
      </c>
      <c r="H14" s="2" t="inlineStr">
        <is>
          <t>Comment La coordination avec fournisseurs, cloud providers et partenaires est-elle intégrée dans la gestion de crise ?</t>
        </is>
      </c>
      <c r="I14" s="2" t="inlineStr">
        <is>
          <t>ISO/IEC 27002:2022, 5.19 / 5.20 / 5.21 / 5.22 / 5.23 ; NIST CSF 2.0, GV.SC / RS.CO</t>
        </is>
      </c>
      <c r="J14" s="151" t="inlineStr">
        <is>
          <t>No</t>
        </is>
      </c>
      <c r="T14" s="152">
        <f>IF(J14="No",ROW(), "")</f>
        <v/>
      </c>
      <c r="U14" s="152">
        <f>IFERROR(INDEX($H$4:$H$100,SMALL($T$4:$T$100,ROWS($U$4:U14))-ROW($H$4)+1),"")</f>
        <v/>
      </c>
    </row>
    <row r="15" ht="66" customHeight="1" s="158">
      <c r="B15" s="150" t="n"/>
      <c r="C15" s="151" t="inlineStr">
        <is>
          <t>Indicateurs opérationnels</t>
        </is>
      </c>
      <c r="D15" s="152" t="inlineStr">
        <is>
          <t>KPI</t>
        </is>
      </c>
      <c r="E15" s="148" t="inlineStr">
        <is>
          <t>Suivi des indicateurs MTTD et MTTR</t>
        </is>
      </c>
      <c r="F15" s="148" t="inlineStr">
        <is>
          <t>Mesurer la performance de détection et de réponse</t>
        </is>
      </c>
      <c r="G15" s="148" t="inlineStr">
        <is>
          <t>Tableaux de bord KPI ; rapports SOC ; indicateurs de performance</t>
        </is>
      </c>
      <c r="H15" s="2" t="inlineStr">
        <is>
          <t>Le temps de détection (MTTD) et de réponse (MTTR) est-il mesuré ?</t>
        </is>
      </c>
      <c r="I15" s="2" t="inlineStr">
        <is>
          <t>ISO/IEC 27002:2022, 5.25 / 5.26 / 8.16 ; NIST SP 800-61 Rev.3 / NIST CSF 2.0, DE.CM / RS.MA / ID.IM</t>
        </is>
      </c>
      <c r="J15" s="151" t="inlineStr">
        <is>
          <t>No</t>
        </is>
      </c>
      <c r="T15" s="152">
        <f>IF(J15="No",ROW(), "")</f>
        <v/>
      </c>
      <c r="U15" s="152">
        <f>IFERROR(INDEX($H$4:$H$100,SMALL($T$4:$T$100,ROWS($U$4:U15))-ROW($H$4)+1),"")</f>
        <v/>
      </c>
    </row>
    <row r="16" ht="43.2" customHeight="1" s="158">
      <c r="B16" s="150" t="n"/>
      <c r="C16" s="149" t="n"/>
      <c r="D16" s="149" t="n"/>
      <c r="E16" s="148" t="inlineStr">
        <is>
          <t>Évaluation régulière des performances en gestion de crise</t>
        </is>
      </c>
      <c r="F16" s="148" t="inlineStr">
        <is>
          <t>Améliorer en continu les capacités de réponse</t>
        </is>
      </c>
      <c r="G16" s="148" t="inlineStr">
        <is>
          <t>Rapports d’audit ; REX ; tableaux de performance ; comptes rendus</t>
        </is>
      </c>
      <c r="H16" s="2" t="inlineStr">
        <is>
          <t>Les performances en gestion de crise sont-elles régulièrement évaluées ?</t>
        </is>
      </c>
      <c r="I16" s="2" t="inlineStr">
        <is>
          <t>ISO/IEC 27002:2022, 5.27 / 5.35 / 5.36 / 5.37 ; NIST CSF 2.0, ID.IM</t>
        </is>
      </c>
      <c r="J16" s="151" t="inlineStr">
        <is>
          <t>Yes</t>
        </is>
      </c>
      <c r="T16">
        <f>IF(J16="No",ROW(), "")</f>
        <v/>
      </c>
      <c r="U16">
        <f>IFERROR(INDEX($H$4:$H$100,SMALL($T$4:$T$100,ROWS($U$4:U16))-ROW($H$4)+1),"")</f>
        <v/>
      </c>
    </row>
    <row r="17" ht="77.55" customHeight="1" s="158">
      <c r="B17" s="150" t="n"/>
      <c r="C17" s="151" t="inlineStr">
        <is>
          <t>Veille et préparation à la crise</t>
        </is>
      </c>
      <c r="D17" s="152" t="inlineStr">
        <is>
          <t>Threat Intelligence</t>
        </is>
      </c>
      <c r="E17" s="60" t="inlineStr">
        <is>
          <t>Mise en place d’une capacité de Threat Intelligence</t>
        </is>
      </c>
      <c r="F17" s="148" t="inlineStr">
        <is>
          <t>Anticiper les menaces et améliorer la détection</t>
        </is>
      </c>
      <c r="G17" s="61" t="inlineStr">
        <is>
          <t>Rapports CTI ; flux de renseignement ; outils TI ; analyses de menaces</t>
        </is>
      </c>
      <c r="H17" s="2" t="inlineStr">
        <is>
          <t>L’organisation collecte-t-elle et exploite-t-elle efficacement les renseignements sur les menaces (stratégiques, tactiques et opérationnelles) pour anticiper les crises cyber, améliorer la détection et réduire leur impact ?</t>
        </is>
      </c>
      <c r="I17" s="2" t="inlineStr">
        <is>
          <t>ISO/IEC 27002:2022, 5.7 / 8.16 ; NIST CSF 2.0, ID.RA / DE.CM</t>
        </is>
      </c>
      <c r="J17" s="151" t="inlineStr">
        <is>
          <t>Yes</t>
        </is>
      </c>
      <c r="T17">
        <f>IF(J17="No",ROW(), "")</f>
        <v/>
      </c>
      <c r="U17">
        <f>IFERROR(INDEX($H$4:$H$100,SMALL($T$4:$T$100,ROWS($U$4:U17))-ROW($H$4)+1),"")</f>
        <v/>
      </c>
    </row>
    <row r="18" ht="57.6" customHeight="1" s="158">
      <c r="B18" s="150" t="n"/>
      <c r="C18" s="149" t="n"/>
      <c r="D18" s="149" t="n"/>
      <c r="E18" s="58" t="inlineStr">
        <is>
          <t>Analyse des incidents de sécurité et retour d’expérience</t>
        </is>
      </c>
      <c r="F18" s="148" t="inlineStr">
        <is>
          <t>Réduire les incidents récurrents et améliorer la posture de sécurité</t>
        </is>
      </c>
      <c r="G18" s="58" t="inlineStr">
        <is>
          <t>Rapports d’incident ; base de données incidents ; analyses de tendances</t>
        </is>
      </c>
      <c r="H18" s="35" t="inlineStr">
        <is>
          <t>L’organisation mesure-t-elle et analyse-t-elle les incidents de sécurité (types, volume, coûts) afin d’améliorer la gestion de crise, prévenir les incidents récurrents et renforcer la sensibilisation des utilisateurs ?</t>
        </is>
      </c>
      <c r="I18" s="35" t="inlineStr">
        <is>
          <t>ISO/IEC 27002:2022, 5.27 / 5.24 / 5.26 ; NIST SP 800-61 Rev.3 / NIST CSF 2.0, RS.AN / ID.IM</t>
        </is>
      </c>
      <c r="J18" s="151" t="inlineStr">
        <is>
          <t>Yes</t>
        </is>
      </c>
      <c r="T18">
        <f>IF(J18="No",ROW(), "")</f>
        <v/>
      </c>
      <c r="U18">
        <f>IFERROR(INDEX($H$4:$H$100,SMALL($T$4:$T$100,ROWS($U$4:U18))-ROW($H$4)+1),"")</f>
        <v/>
      </c>
    </row>
    <row r="19" ht="42" customHeight="1" s="158">
      <c r="B19" s="150" t="n"/>
      <c r="C19" s="152" t="inlineStr">
        <is>
          <t>Tests et amélioration</t>
        </is>
      </c>
      <c r="D19" s="152" t="inlineStr">
        <is>
          <t>Tests</t>
        </is>
      </c>
      <c r="E19" s="35" t="inlineStr">
        <is>
          <t>Organisation d’exercices de simulation de crise</t>
        </is>
      </c>
      <c r="F19" s="2" t="inlineStr">
        <is>
          <t>Tester et améliorer la préparation de l’organisation</t>
        </is>
      </c>
      <c r="G19" s="2" t="inlineStr">
        <is>
          <t>Rapports d’exercice ; scénarios de crise ; comptes rendus</t>
        </is>
      </c>
      <c r="H19" s="57" t="inlineStr">
        <is>
          <t>Des exercices de simulation de crise sont-ils réalisés ?</t>
        </is>
      </c>
      <c r="I19" s="57" t="inlineStr">
        <is>
          <t>ISO/IEC 27002:2022, 5.24 / 5.29 / 5.30 ; NIST CSF 2.0, ID.IM / PR.IR</t>
        </is>
      </c>
      <c r="J19" s="151" t="inlineStr">
        <is>
          <t>Yes</t>
        </is>
      </c>
      <c r="T19">
        <f>IF(J19="No",ROW(), "")</f>
        <v/>
      </c>
      <c r="U19">
        <f>IFERROR(INDEX($H$4:$H$100,SMALL($T$4:$T$100,ROWS($U$4:U19))-ROW($H$4)+1),"")</f>
        <v/>
      </c>
    </row>
    <row r="20" ht="39" customHeight="1" s="158">
      <c r="B20" s="150" t="n"/>
      <c r="C20" s="149" t="n"/>
      <c r="D20" s="152" t="inlineStr">
        <is>
          <t>Historique</t>
        </is>
      </c>
      <c r="E20" s="35" t="inlineStr">
        <is>
          <t>Activation réelle de la cellule de crise</t>
        </is>
      </c>
      <c r="F20" s="57" t="inlineStr">
        <is>
          <t>Évaluer l’efficacité en conditions réelles</t>
        </is>
      </c>
      <c r="G20" s="2" t="inlineStr">
        <is>
          <t>Rapports d’incident ; comptes rendus de crise ; REX</t>
        </is>
      </c>
      <c r="H20" s="2" t="inlineStr">
        <is>
          <t>La cellule a-t-elle déjà été activée en conditions réelles ?</t>
        </is>
      </c>
      <c r="I20" s="2" t="inlineStr">
        <is>
          <t>ISO/IEC 27002:2022, 5.27 ; NIST CSF 2.0, ID.IM</t>
        </is>
      </c>
      <c r="J20" s="151" t="inlineStr">
        <is>
          <t>Yes</t>
        </is>
      </c>
      <c r="T20">
        <f>IF(J20="No",ROW(), "")</f>
        <v/>
      </c>
      <c r="U20">
        <f>IFERROR(INDEX($H$4:$H$100,SMALL($T$4:$T$100,ROWS($U$4:U20))-ROW($H$4)+1),"")</f>
        <v/>
      </c>
    </row>
    <row r="21" ht="43.2" customHeight="1" s="158">
      <c r="B21" s="150" t="n"/>
      <c r="C21" s="151" t="inlineStr">
        <is>
          <t>Disponibilité des ressources</t>
        </is>
      </c>
      <c r="D21" s="152" t="inlineStr">
        <is>
          <t>Ressources</t>
        </is>
      </c>
      <c r="E21" s="53" t="inlineStr">
        <is>
          <t>Mise en place d’une organisation de crise disponible 24/7</t>
        </is>
      </c>
      <c r="F21" s="59" t="inlineStr">
        <is>
          <t>Garantir une réponse immédiate aux incidents majeurs</t>
        </is>
      </c>
      <c r="G21" s="59" t="inlineStr">
        <is>
          <t>Planning d’astreinte ; organisation SOC ; procédures d’escalade</t>
        </is>
      </c>
      <c r="H21" s="2" t="inlineStr">
        <is>
          <t>Les équipes de crise sont-elles disponibles 24/7 en cas d’incident majeur ?</t>
        </is>
      </c>
      <c r="I21" s="2" t="inlineStr">
        <is>
          <t>ISO/IEC 27002:2022, 5.2 / 5.4 / 5.24 / 5.26 ; NIST CSF 2.0, GV.RR / RS.MA</t>
        </is>
      </c>
      <c r="J21" s="151" t="inlineStr">
        <is>
          <t>Yes</t>
        </is>
      </c>
      <c r="T21">
        <f>IF(J21="No",ROW(), "")</f>
        <v/>
      </c>
      <c r="U21">
        <f>IFERROR(INDEX($H$4:$H$100,SMALL($T$4:$T$100,ROWS($U$4:U21))-ROW($H$4)+1),"")</f>
        <v/>
      </c>
    </row>
    <row r="22" ht="41.55" customHeight="1" s="158">
      <c r="B22" s="150" t="n"/>
      <c r="C22" s="149" t="n"/>
      <c r="D22" s="149" t="n"/>
      <c r="E22" s="148" t="inlineStr">
        <is>
          <t>Définition d’un espace dédié de gestion de crise</t>
        </is>
      </c>
      <c r="F22" s="148" t="inlineStr">
        <is>
          <t>Assurer une gestion structurée des crises</t>
        </is>
      </c>
      <c r="G22" s="148" t="inlineStr">
        <is>
          <t>Salle de crise ; outils collaboratifs ; plateformes de gestion de crise</t>
        </is>
      </c>
      <c r="H22" s="2" t="inlineStr">
        <is>
          <t>Existe-t-il un espace dédié de gestion de crise (physique ou virtuel) ?</t>
        </is>
      </c>
      <c r="I22" s="2" t="inlineStr">
        <is>
          <t>ISO/IEC 27002:2022, 7.1 / 7.2 / 5.29 / 5.30 ; NIST CSF 2.0, PR.IR / RS.MA</t>
        </is>
      </c>
      <c r="J22" s="151" t="inlineStr">
        <is>
          <t>Yes</t>
        </is>
      </c>
      <c r="T22">
        <f>IF(J22="No",ROW(), "")</f>
        <v/>
      </c>
      <c r="U22">
        <f>IFERROR(INDEX($H$4:$H$100,SMALL($T$4:$T$100,ROWS($U$4:U22))-ROW($H$4)+1),"")</f>
        <v/>
      </c>
    </row>
    <row r="23" ht="57.6" customHeight="1" s="158">
      <c r="B23" s="150" t="n"/>
      <c r="C23" s="151" t="inlineStr">
        <is>
          <t>Gestion des données en crise</t>
        </is>
      </c>
      <c r="D23" s="152" t="inlineStr">
        <is>
          <t>Data</t>
        </is>
      </c>
      <c r="E23" s="148" t="inlineStr">
        <is>
          <t>Mise en place de procédures d’identification et de protection des données compromises</t>
        </is>
      </c>
      <c r="F23" s="148" t="inlineStr">
        <is>
          <t>Limiter l’impact sur les données sensibles</t>
        </is>
      </c>
      <c r="G23" s="148" t="inlineStr">
        <is>
          <t>Procédures de gestion des données ; classification ; journaux d’accès</t>
        </is>
      </c>
      <c r="H23" s="2" t="inlineStr">
        <is>
          <t>Comment les données compromises sont-elles identifiées et protégées ?</t>
        </is>
      </c>
      <c r="I23" s="2" t="inlineStr">
        <is>
          <t>ISO/IEC 27002:2022, 5.12 / 5.13 / 5.34 / 8.12 / 8.15 ; NIST CSF 2.0, PR.DS / RS.AN / RS.MA</t>
        </is>
      </c>
      <c r="J23" s="151" t="inlineStr">
        <is>
          <t>Yes</t>
        </is>
      </c>
      <c r="T23">
        <f>IF(J23="No",ROW(), "")</f>
        <v/>
      </c>
      <c r="U23">
        <f>IFERROR(INDEX($H$4:$H$100,SMALL($T$4:$T$100,ROWS($U$4:U23))-ROW($H$4)+1),"")</f>
        <v/>
      </c>
    </row>
    <row r="24" ht="43.2" customHeight="1" s="158">
      <c r="B24" s="150" t="n"/>
      <c r="C24" s="152" t="inlineStr">
        <is>
          <t>Reprise après crise</t>
        </is>
      </c>
      <c r="D24" s="152" t="inlineStr">
        <is>
          <t>Restauration</t>
        </is>
      </c>
      <c r="E24" s="2" t="inlineStr">
        <is>
          <t>Mise en œuvre de procédures de restauration sécurisée des systèmes</t>
        </is>
      </c>
      <c r="F24" s="2" t="inlineStr">
        <is>
          <t>Assurer une reprise fiable et sécurisée des activités</t>
        </is>
      </c>
      <c r="G24" s="2" t="inlineStr">
        <is>
          <t>procédures de restauration ; journaux de repris</t>
        </is>
      </c>
      <c r="H24" s="2" t="inlineStr">
        <is>
          <t>Comment Les systèmes sont-ils restaurés de manière contrôlée et sécurisée ?</t>
        </is>
      </c>
      <c r="I24" s="66" t="inlineStr">
        <is>
          <t>ISO/IEC 27002:2022, 5.30 / 8.13 / 8.14 ; NIST SP 800-61 Rev.3 / NIST CSF 2.0, RC.RP / RC.CO</t>
        </is>
      </c>
      <c r="J24" s="154" t="inlineStr">
        <is>
          <t>Yes</t>
        </is>
      </c>
      <c r="T24">
        <f>IF(J24="No",ROW(), "")</f>
        <v/>
      </c>
      <c r="U24">
        <f>IFERROR(INDEX($H$4:$H$100,SMALL($T$4:$T$100,ROWS($U$4:U24))-ROW($H$4)+1),"")</f>
        <v/>
      </c>
    </row>
    <row r="25" ht="43.2" customHeight="1" s="158">
      <c r="B25" s="149" t="n"/>
      <c r="C25" s="149" t="n"/>
      <c r="D25" s="152" t="inlineStr">
        <is>
          <t>Validation</t>
        </is>
      </c>
      <c r="E25" s="2" t="inlineStr">
        <is>
          <t>Réalisation de contrôles post-crise avant remise en production</t>
        </is>
      </c>
      <c r="F25" s="2" t="inlineStr">
        <is>
          <t>Éviter la réintroduction de vulnérabilités</t>
        </is>
      </c>
      <c r="G25" s="2" t="inlineStr">
        <is>
          <t>Rapports de validation ; tests post-restauration ; audits</t>
        </is>
      </c>
      <c r="H25" s="62" t="inlineStr">
        <is>
          <t>Un contrôle post-crise est-il effectué avant la remise en production ?</t>
        </is>
      </c>
      <c r="I25" s="62" t="inlineStr">
        <is>
          <t>ISO/IEC 27002:2022, 5.27 / 8.8 / 8.29 / 8.32 ; NIST CSF 2.0, ID.IM / RC.RP</t>
        </is>
      </c>
      <c r="J25" s="151" t="inlineStr">
        <is>
          <t>Yes</t>
        </is>
      </c>
      <c r="T25">
        <f>IF(J25="No",ROW(), "")</f>
        <v/>
      </c>
      <c r="U25">
        <f>IFERROR(INDEX($H$4:$H$100,SMALL($T$4:$T$100,ROWS($U$4:U25))-ROW($H$4)+1),"")</f>
        <v/>
      </c>
    </row>
    <row r="26">
      <c r="J26" s="54" t="n"/>
    </row>
  </sheetData>
  <mergeCells count="30">
    <mergeCell ref="L2:M2"/>
    <mergeCell ref="C12:C14"/>
    <mergeCell ref="E4:E5"/>
    <mergeCell ref="D21:D22"/>
    <mergeCell ref="P3:P5"/>
    <mergeCell ref="D17:D18"/>
    <mergeCell ref="R3:R5"/>
    <mergeCell ref="G7:G8"/>
    <mergeCell ref="C10:C11"/>
    <mergeCell ref="D4:D5"/>
    <mergeCell ref="J4:J5"/>
    <mergeCell ref="D7:D8"/>
    <mergeCell ref="C21:C22"/>
    <mergeCell ref="D12:D13"/>
    <mergeCell ref="L3:M5"/>
    <mergeCell ref="D15:D16"/>
    <mergeCell ref="O3:O5"/>
    <mergeCell ref="Q3:Q5"/>
    <mergeCell ref="C17:C18"/>
    <mergeCell ref="C7:C8"/>
    <mergeCell ref="N3:N5"/>
    <mergeCell ref="E7:E8"/>
    <mergeCell ref="C4:C6"/>
    <mergeCell ref="C19:C20"/>
    <mergeCell ref="B4:B25"/>
    <mergeCell ref="D10:D11"/>
    <mergeCell ref="H4:H5"/>
    <mergeCell ref="C15:C16"/>
    <mergeCell ref="F7:F8"/>
    <mergeCell ref="C24:C25"/>
  </mergeCells>
  <conditionalFormatting sqref="B3:E3">
    <cfRule type="expression" priority="11" dxfId="6">
      <formula>$A3="header"</formula>
    </cfRule>
  </conditionalFormatting>
  <conditionalFormatting sqref="B3:J3">
    <cfRule type="expression" priority="5" dxfId="5">
      <formula>$A3="header"</formula>
    </cfRule>
    <cfRule type="expression" priority="6" dxfId="4">
      <formula>$A3="blank"</formula>
    </cfRule>
  </conditionalFormatting>
  <conditionalFormatting sqref="J4 J6:J26">
    <cfRule type="cellIs" priority="1" operator="equal" dxfId="3">
      <formula>"N/A"</formula>
    </cfRule>
    <cfRule type="cellIs" priority="2" operator="equal" dxfId="2">
      <formula>"N/A"</formula>
    </cfRule>
    <cfRule type="cellIs" priority="3" operator="equal" dxfId="1">
      <formula>"No"</formula>
    </cfRule>
    <cfRule type="cellIs" priority="4" operator="equal" dxfId="0">
      <formula>"Yes"</formula>
    </cfRule>
  </conditionalFormatting>
  <dataValidations count="2">
    <dataValidation sqref="J4 J6:J26" showDropDown="0" showInputMessage="1" showErrorMessage="1" allowBlank="1" type="list">
      <formula1>"Yes,No,N/A"</formula1>
    </dataValidation>
    <dataValidation sqref="M7" showDropDown="0" showInputMessage="1" showErrorMessage="1" allowBlank="1" type="list">
      <formula1>"Oumayma,Dhia"</formula1>
    </dataValidation>
  </dataValidations>
  <pageMargins left="0.7" right="0.7" top="0.75" bottom="0.75" header="0.3" footer="0.3"/>
</worksheet>
</file>

<file path=xl/worksheets/sheet6.xml><?xml version="1.0" encoding="utf-8"?>
<worksheet xmlns="http://schemas.openxmlformats.org/spreadsheetml/2006/main">
  <sheetPr>
    <tabColor theme="9" tint="-0.249977111117893"/>
    <outlinePr summaryBelow="1" summaryRight="1"/>
    <pageSetUpPr/>
  </sheetPr>
  <dimension ref="A2:W28"/>
  <sheetViews>
    <sheetView topLeftCell="O1" zoomScale="56" zoomScaleNormal="40" workbookViewId="0">
      <selection activeCell="W4" sqref="W4:W25"/>
    </sheetView>
  </sheetViews>
  <sheetFormatPr baseColWidth="10" defaultRowHeight="14.4"/>
  <cols>
    <col width="30" customWidth="1" style="158" min="2" max="2"/>
    <col width="21.77734375" customWidth="1" style="158" min="3" max="3"/>
    <col width="19.33203125" customWidth="1" style="39" min="4" max="4"/>
    <col width="19.21875" customWidth="1" style="158" min="5" max="5"/>
    <col width="33" customWidth="1" style="158" min="6" max="6"/>
    <col width="25.109375" customWidth="1" style="158" min="7" max="7"/>
    <col width="34.21875" customWidth="1" style="158" min="8" max="9"/>
    <col width="15.21875" customWidth="1" style="158" min="10" max="10"/>
    <col width="13.33203125" customWidth="1" style="158" min="13" max="13"/>
    <col width="25.44140625" customWidth="1" style="158" min="14" max="14"/>
    <col width="28.77734375" customWidth="1" style="158" min="15" max="15"/>
    <col width="15.5546875" customWidth="1" style="158" min="16" max="16"/>
    <col width="16.77734375" customWidth="1" style="158" min="17" max="17"/>
    <col width="47.44140625" customWidth="1" style="158" min="18" max="18"/>
    <col width="25.44140625" customWidth="1" style="158" min="19" max="19"/>
    <col width="30.77734375" customWidth="1" style="158" min="20" max="20"/>
    <col width="159" customWidth="1" style="158" min="23" max="23"/>
  </cols>
  <sheetData>
    <row r="1" ht="15" customHeight="1" s="158" thickBot="1"/>
    <row r="2" ht="24" customHeight="1" s="158" thickBot="1">
      <c r="A2" s="109" t="n"/>
      <c r="B2" s="109" t="n"/>
      <c r="C2" s="109" t="n"/>
      <c r="D2" s="42" t="n"/>
      <c r="E2" s="109" t="n"/>
      <c r="F2" s="109" t="n"/>
      <c r="G2" s="109" t="n"/>
      <c r="H2" s="109" t="n"/>
      <c r="I2" s="109" t="n"/>
      <c r="J2" s="109" t="n"/>
      <c r="K2" s="109" t="n"/>
      <c r="L2" s="155" t="inlineStr">
        <is>
          <t>Nb Question</t>
        </is>
      </c>
      <c r="M2" s="156" t="n"/>
      <c r="N2" s="92" t="inlineStr">
        <is>
          <t>Nb app</t>
        </is>
      </c>
      <c r="O2" s="47" t="inlineStr">
        <is>
          <t>Yes</t>
        </is>
      </c>
      <c r="P2" s="47" t="inlineStr">
        <is>
          <t>No</t>
        </is>
      </c>
      <c r="Q2" s="47" t="inlineStr">
        <is>
          <t>N/A</t>
        </is>
      </c>
      <c r="R2" s="47" t="inlineStr">
        <is>
          <t>SCORE DU DOMAIN</t>
        </is>
      </c>
    </row>
    <row r="3" ht="33.45" customHeight="1" s="158" thickBot="1">
      <c r="A3" s="109" t="n"/>
      <c r="B3" s="4" t="inlineStr">
        <is>
          <t>Domaine</t>
        </is>
      </c>
      <c r="C3" s="4" t="inlineStr">
        <is>
          <t>Sous Domaine</t>
        </is>
      </c>
      <c r="D3" s="4" t="inlineStr">
        <is>
          <t>Catégorie de contrôle</t>
        </is>
      </c>
      <c r="E3" s="4" t="inlineStr">
        <is>
          <t>Contrôle</t>
        </is>
      </c>
      <c r="F3" s="4" t="inlineStr">
        <is>
          <t>Objectif</t>
        </is>
      </c>
      <c r="G3" s="10" t="inlineStr">
        <is>
          <t>Preuves possibles</t>
        </is>
      </c>
      <c r="H3" s="4" t="inlineStr">
        <is>
          <t>Question finale</t>
        </is>
      </c>
      <c r="I3" s="4" t="inlineStr">
        <is>
          <t xml:space="preserve">Refernces </t>
        </is>
      </c>
      <c r="J3" s="4" t="inlineStr">
        <is>
          <t>Result</t>
        </is>
      </c>
      <c r="K3" s="109" t="n"/>
      <c r="L3" s="166">
        <f>COUNTA(H4:H25)</f>
        <v/>
      </c>
      <c r="M3" s="167" t="n"/>
      <c r="N3" s="181">
        <f>L3-Q3</f>
        <v/>
      </c>
      <c r="O3" s="175">
        <f>COUNTIF(J4:J25,"Yes")</f>
        <v/>
      </c>
      <c r="P3" s="172">
        <f>COUNTIF(J4:J25,"No")</f>
        <v/>
      </c>
      <c r="Q3" s="160">
        <f>COUNTIF(J4:J25,"N/A")</f>
        <v/>
      </c>
      <c r="R3" s="165">
        <f>O3/N3</f>
        <v/>
      </c>
      <c r="V3" s="120" t="n"/>
      <c r="W3" s="120" t="n"/>
    </row>
    <row r="4" ht="120" customHeight="1" s="158" thickBot="1">
      <c r="A4" s="109" t="n"/>
      <c r="B4" s="151" t="inlineStr">
        <is>
          <t>Domain Du Continuité d’activité</t>
        </is>
      </c>
      <c r="C4" s="151" t="inlineStr">
        <is>
          <t>Business Impact Analysis (BIA)</t>
        </is>
      </c>
      <c r="D4" s="184" t="inlineStr">
        <is>
          <t>Identification des activités critiques</t>
        </is>
      </c>
      <c r="E4" s="6" t="inlineStr">
        <is>
          <t>Les processus métiers sont-ils priorisés en fonction de leur criticité ?</t>
        </is>
      </c>
      <c r="F4" s="8" t="inlineStr">
        <is>
          <t>S’assurer que toutes les dépendances internes et externes nécessaires au fonctionnement des processus métiers sont identifiées de manière exhaustive.</t>
        </is>
      </c>
      <c r="G4" s="23" t="inlineStr">
        <is>
          <t>Registre des processus métiers classés par criticité, matrice de priorisation, rapport BIA validé</t>
        </is>
      </c>
      <c r="H4" s="184" t="inlineStr">
        <is>
          <t>Comment les processus métiers sont-ils identifiés, priorisés et classifiés ?</t>
        </is>
      </c>
      <c r="I4" s="186" t="inlineStr">
        <is>
          <t>ISO 22301:2019 8.2.2(b), 8.2.2(f) ; ISO/IEC 27001:2022 Annexe A A.5..9</t>
        </is>
      </c>
      <c r="J4" s="151" t="inlineStr">
        <is>
          <t>No</t>
        </is>
      </c>
      <c r="K4" s="109" t="n"/>
      <c r="L4" s="168" t="n"/>
      <c r="M4" s="169" t="n"/>
      <c r="N4" s="161" t="n"/>
      <c r="O4" s="161" t="n"/>
      <c r="P4" s="161" t="n"/>
      <c r="Q4" s="161" t="n"/>
      <c r="R4" s="161" t="n"/>
      <c r="S4" s="73" t="inlineStr">
        <is>
          <t>Auditeur</t>
        </is>
      </c>
      <c r="T4" s="99" t="inlineStr">
        <is>
          <t>Dhia</t>
        </is>
      </c>
      <c r="V4" s="152">
        <f>IF(J4="No",ROW(), "")</f>
        <v/>
      </c>
      <c r="W4" s="152">
        <f>IFERROR(INDEX($H$4:$H$100,SMALL($V$4:$V$100,ROWS($W4:W$4))-ROW($H$4)+1),"")</f>
        <v/>
      </c>
    </row>
    <row r="5" ht="169.05" customHeight="1" s="158" thickBot="1">
      <c r="A5" s="109" t="n"/>
      <c r="B5" s="150" t="n"/>
      <c r="C5" s="150" t="n"/>
      <c r="D5" s="150" t="n"/>
      <c r="E5" s="6" t="inlineStr">
        <is>
          <t>Comment les processus critiques sont-ils identifiés et classifiés ?</t>
        </is>
      </c>
      <c r="F5" s="8" t="inlineStr">
        <is>
          <t>S’assurer qu’une méthodologie structurée et cohérente est utilisée pour identifier et classer les processus métiers critiques en fonction de leur importance pour les opérations et les objectifs de l’organisation.</t>
        </is>
      </c>
      <c r="G5" s="23" t="inlineStr">
        <is>
          <t>Méthodologie BIA, critères de classification documentés, grille de scoring, comptes rendus d’ateliers métiers</t>
        </is>
      </c>
      <c r="H5" s="149" t="n"/>
      <c r="I5" s="149" t="n"/>
      <c r="J5" s="149" t="n"/>
      <c r="K5" s="109" t="n"/>
      <c r="L5" s="170" t="n"/>
      <c r="M5" s="171" t="n"/>
      <c r="N5" s="162" t="n"/>
      <c r="O5" s="162" t="n"/>
      <c r="P5" s="162" t="n"/>
      <c r="Q5" s="162" t="n"/>
      <c r="R5" s="162" t="n"/>
      <c r="V5" s="152">
        <f>IF(J5="No",ROW(), "")</f>
        <v/>
      </c>
      <c r="W5" s="152">
        <f>IFERROR(INDEX($H$4:$H$100,SMALL($V$4:$V$100,ROWS($W$4:W5))-ROW($H$4)+1),"")</f>
        <v/>
      </c>
    </row>
    <row r="6" ht="141" customHeight="1" s="158">
      <c r="A6" s="109" t="n"/>
      <c r="B6" s="150" t="n"/>
      <c r="C6" s="150" t="n"/>
      <c r="D6" s="150" t="n"/>
      <c r="E6" s="6" t="inlineStr">
        <is>
          <t>Les dépendances externes (fournisseurs, partenaires) sont-elles incluses dans le BIA ?</t>
        </is>
      </c>
      <c r="F6" s="8" t="inlineStr">
        <is>
          <t>S’assurer que toutes les dépendances liées aux tiers sont prises en compte dans le BIA afin d’évaluer les risques liés aux perturbations externes et de renforcer la résilience.</t>
        </is>
      </c>
      <c r="G6" s="23" t="inlineStr">
        <is>
          <t>Liste des fournisseurs/partenaires critiques, cartographie des dépendances externes, contrats/SLA, sections BIA dédiées aux tiers</t>
        </is>
      </c>
      <c r="H6" s="184" t="inlineStr">
        <is>
          <t>Toutes les dépendances internes et externes, y compris les fournisseurs, partenaires, systèmes informatiques et le personnel, ont-elles été identifiées et intégrées dans le BIA ?</t>
        </is>
      </c>
      <c r="I6" s="186" t="inlineStr">
        <is>
          <t>ISO 22301:2019 8.2.2(g), 8.2.2(h)  ISO/IEC 27001:2022 Annexe A A.5.19</t>
        </is>
      </c>
      <c r="J6" s="151" t="inlineStr">
        <is>
          <t>No</t>
        </is>
      </c>
      <c r="K6" s="109" t="n"/>
      <c r="L6" s="46" t="n"/>
      <c r="M6" s="46" t="n"/>
      <c r="N6" s="46" t="n"/>
      <c r="O6" s="109" t="n"/>
      <c r="V6" s="152">
        <f>IF(J6="No",ROW(), "")</f>
        <v/>
      </c>
      <c r="W6" s="152">
        <f>IFERROR(INDEX($H$4:$H$100,SMALL($V$4:$V$100,ROWS($W$4:W6))-ROW($H$4)+1),"")</f>
        <v/>
      </c>
    </row>
    <row r="7" ht="151.95" customHeight="1" s="158">
      <c r="A7" s="109" t="n"/>
      <c r="B7" s="150" t="n"/>
      <c r="C7" s="150" t="n"/>
      <c r="D7" s="149" t="n"/>
      <c r="E7" s="183" t="inlineStr">
        <is>
          <t>Toutes les dépendances ont-elles été identifiées (systèmes IT, tiers, personnel) ?</t>
        </is>
      </c>
      <c r="F7" s="8" t="inlineStr">
        <is>
          <t>S’assurer que toutes les dépendances internes et externes nécessaires au fonctionnement des processus métiers sont identifiées de manière exhaustive afin d’éviter les vulnérabilités cachées.</t>
        </is>
      </c>
      <c r="G7" s="23" t="inlineStr">
        <is>
          <t>Cartographie des dépendances, inventaire applicatif, organigrammes/fiches de postes clés, registre des tiers critiques</t>
        </is>
      </c>
      <c r="H7" s="149" t="n"/>
      <c r="I7" s="149" t="n"/>
      <c r="J7" s="149" t="n"/>
      <c r="K7" s="109" t="n"/>
      <c r="L7" s="109" t="n"/>
      <c r="M7" s="109" t="n"/>
      <c r="N7" s="109" t="n"/>
      <c r="O7" s="89" t="n"/>
      <c r="V7" s="152">
        <f>IF(J7="No",ROW(), "")</f>
        <v/>
      </c>
      <c r="W7" s="152">
        <f>IFERROR(INDEX($H$4:$H$100,SMALL($V$4:$V$100,ROWS($W$4:W7))-ROW($H$4)+1),"")</f>
        <v/>
      </c>
    </row>
    <row r="8" ht="109.5" customHeight="1" s="158">
      <c r="A8" s="109" t="n"/>
      <c r="B8" s="150" t="n"/>
      <c r="C8" s="150" t="n"/>
      <c r="D8" s="148" t="inlineStr">
        <is>
          <t>Impact Analysis</t>
        </is>
      </c>
      <c r="E8" s="183" t="inlineStr">
        <is>
          <t>Des mesures d’impact quantitatives et/ou qualitatives sont-elles utilisées ?</t>
        </is>
      </c>
      <c r="F8" s="22" t="inlineStr">
        <is>
          <t>S’assurer que des mesures à la fois quantitatives et qualitatives sont utilisées afin de fournir une évaluation complète des impacts.</t>
        </is>
      </c>
      <c r="G8" s="23" t="inlineStr">
        <is>
          <t>Tableaux d’évaluation chiffrée, indicateurs qualitatifs, scorecards, fiches d’analyse d’impact</t>
        </is>
      </c>
      <c r="H8" s="148" t="inlineStr">
        <is>
          <t>Les impacts sont-ils mesurés quantitativement et/ou qualitativement, et sont-ils évalués à court, moyen et long terme (24h, 48h, 72h) ?</t>
        </is>
      </c>
      <c r="I8" s="151" t="inlineStr">
        <is>
          <t xml:space="preserve">ISO 22301:2019 8.2.2 ;                     ISO/IEC 27001:2022 Annexe A A.5.30 </t>
        </is>
      </c>
      <c r="J8" s="151" t="inlineStr">
        <is>
          <t>N/A</t>
        </is>
      </c>
      <c r="K8" s="109" t="n"/>
      <c r="O8" s="90" t="n"/>
      <c r="V8" s="152">
        <f>IF(J8="No",ROW(), "")</f>
        <v/>
      </c>
      <c r="W8" s="152">
        <f>IFERROR(INDEX($H$4:$H$100,SMALL($V$4:$V$100,ROWS($W$4:W8))-ROW($H$4)+1),"")</f>
        <v/>
      </c>
    </row>
    <row r="9" ht="136.05" customHeight="1" s="158">
      <c r="A9" s="109" t="n"/>
      <c r="B9" s="150" t="n"/>
      <c r="C9" s="149" t="n"/>
      <c r="D9" s="149" t="n"/>
      <c r="E9" s="183" t="inlineStr">
        <is>
          <t>Les impacts sont-ils évalués selon plusieurs horizons temporels (ex. : 24h, 48h, 72h) ?</t>
        </is>
      </c>
      <c r="F9" s="22" t="inlineStr">
        <is>
          <t>S’assurer que les impacts sont analysés selon différents horizons temporels afin de comprendre l’évolution de la gravité des perturbations et de définir des priorités de reprise adaptées.</t>
        </is>
      </c>
      <c r="G9" s="23" t="inlineStr">
        <is>
          <t>Tableaux d’impact par horizon temporel, scénarios de dégradation, rapport BIA avec seuils 24h/48h/72h, matrices d’escalade</t>
        </is>
      </c>
      <c r="H9" s="149" t="n"/>
      <c r="I9" s="149" t="n"/>
      <c r="J9" s="149" t="n"/>
      <c r="K9" s="109" t="n"/>
      <c r="V9" s="152">
        <f>IF(J9="No",ROW(), "")</f>
        <v/>
      </c>
      <c r="W9" s="152">
        <f>IFERROR(INDEX($H$4:$H$100,SMALL($V$4:$V$100,ROWS($W$4:W9))-ROW($H$4)+1),"")</f>
        <v/>
      </c>
    </row>
    <row r="10" ht="132.45" customHeight="1" s="158">
      <c r="A10" s="109" t="n"/>
      <c r="B10" s="150" t="n"/>
      <c r="C10" s="151" t="inlineStr">
        <is>
          <t>Business Continuity Plans (BCP)</t>
        </is>
      </c>
      <c r="D10" s="148" t="inlineStr">
        <is>
          <t>Responsibilitiés</t>
        </is>
      </c>
      <c r="E10" s="183" t="inlineStr">
        <is>
          <t>Les différents types de scénarios sont-ils couverts (cyberattaque, panne système) ?</t>
        </is>
      </c>
      <c r="F10" s="22" t="inlineStr">
        <is>
          <t>S’assurer que le PCA couvre une gamme de scénarios de perturbation plausibles afin d’améliorer la préparation et l’efficacité de la réponse.</t>
        </is>
      </c>
      <c r="G10" s="23" t="inlineStr">
        <is>
          <t>Bibliothèque de scénarios, plans par scénario, fiches réflexes, analyses de risques</t>
        </is>
      </c>
      <c r="H10" s="184" t="inlineStr">
        <is>
          <t>Le PCA couvre-t-il différents types de scénarios avec des procédures de réponse détaillées pour chacun ?</t>
        </is>
      </c>
      <c r="I10" s="186" t="inlineStr">
        <is>
          <t>ISO 22301:2019 8.4.1, 8.4.4 ;           ISO/IEC 27001:2022 Annexe A A.5.29</t>
        </is>
      </c>
      <c r="J10" s="151" t="inlineStr">
        <is>
          <t>Yes</t>
        </is>
      </c>
      <c r="K10" s="109" t="n"/>
      <c r="V10" s="152">
        <f>IF(J10="No",ROW(), "")</f>
        <v/>
      </c>
      <c r="W10" s="152">
        <f>IFERROR(INDEX($H$4:$H$100,SMALL($V$4:$V$100,ROWS($W$4:W10))-ROW($H$4)+1),"")</f>
        <v/>
      </c>
    </row>
    <row r="11" ht="138.45" customHeight="1" s="158">
      <c r="A11" s="109" t="n"/>
      <c r="B11" s="150" t="n"/>
      <c r="C11" s="150" t="n"/>
      <c r="D11" s="149" t="n"/>
      <c r="E11" s="24" t="inlineStr">
        <is>
          <t>Les procédures de réponse détaillées sont-elles définies pour chaque scénario ?</t>
        </is>
      </c>
      <c r="F11" s="24" t="inlineStr">
        <is>
          <t>S’assurer que des procédures de réponse détaillées, étape par étape, sont définies pour chaque scénario afin de permettre une réponse structurée et efficace en cas de perturbation.</t>
        </is>
      </c>
      <c r="G11" s="23" t="inlineStr">
        <is>
          <t>Procédures détaillées, playbooks, runbooks, fiches réflexes par scénario</t>
        </is>
      </c>
      <c r="H11" s="149" t="n"/>
      <c r="I11" s="149" t="n"/>
      <c r="J11" s="149" t="n"/>
      <c r="K11" s="109" t="n"/>
      <c r="V11" s="152">
        <f>IF(J11="No",ROW(), "")</f>
        <v/>
      </c>
      <c r="W11" s="152">
        <f>IFERROR(INDEX($H$4:$H$100,SMALL($V$4:$V$100,ROWS($W$4:W11))-ROW($H$4)+1),"")</f>
        <v/>
      </c>
    </row>
    <row r="12" ht="121.5" customHeight="1" s="158">
      <c r="A12" s="109" t="n"/>
      <c r="B12" s="150" t="n"/>
      <c r="C12" s="150" t="n"/>
      <c r="D12" s="148" t="inlineStr">
        <is>
          <t>Procédures de réponse</t>
        </is>
      </c>
      <c r="E12" s="24" t="inlineStr">
        <is>
          <t>Les listes de contacts (internes et externes) sont-elles documentées et régulièrement mises à jour ?</t>
        </is>
      </c>
      <c r="F12" s="24" t="inlineStr">
        <is>
          <t>S’assurer que des informations de contact précises et à jour sont maintenues afin de permettre une communication et une coordination rapides en situation de crise.</t>
        </is>
      </c>
      <c r="G12" s="23" t="inlineStr">
        <is>
          <t>Annuaire de crise, listes d’appel, contacts fournisseurs, historique de mise à jour</t>
        </is>
      </c>
      <c r="H12" s="184" t="inlineStr">
        <is>
          <t>Les listes de contacts (internes et externes) sont-elles documentées et régulièrement mises à jour ?</t>
        </is>
      </c>
      <c r="I12" s="186" t="inlineStr">
        <is>
          <t>ISO 22301:2019 8.4.3 ;                     ISO/IEC 27001:2022 Annexe A A.5.5</t>
        </is>
      </c>
      <c r="J12" s="151" t="inlineStr">
        <is>
          <t>N/A</t>
        </is>
      </c>
      <c r="K12" s="109" t="n"/>
      <c r="V12" s="152">
        <f>IF(J12="No",ROW(), "")</f>
        <v/>
      </c>
      <c r="W12" s="152">
        <f>IFERROR(INDEX($H$4:$H$100,SMALL($V$4:$V$100,ROWS($W$4:W12))-ROW($H$4)+1),"")</f>
        <v/>
      </c>
    </row>
    <row r="13" ht="154.5" customHeight="1" s="158">
      <c r="A13" s="109" t="n"/>
      <c r="B13" s="150" t="n"/>
      <c r="C13" s="150" t="n"/>
      <c r="D13" s="149" t="n"/>
      <c r="E13" s="24" t="inlineStr">
        <is>
          <t>es procédures de communication (internes et externes) sont-elles définies ?</t>
        </is>
      </c>
      <c r="F13" s="24" t="inlineStr">
        <is>
          <t>S’assurer que des procédures de communication claires sont définies pour les parties prenantes internes et externes afin de garantir une diffusion cohérente et coordonnée de l’information.</t>
        </is>
      </c>
      <c r="G13" s="23" t="inlineStr">
        <is>
          <t>Procédure de communication de crise, matrices de communication, modèles de messages, plan média</t>
        </is>
      </c>
      <c r="H13" s="150" t="n"/>
      <c r="I13" s="150" t="n"/>
      <c r="J13" s="150" t="n"/>
      <c r="K13" s="109" t="n"/>
      <c r="V13" s="152">
        <f>IF(J13="No",ROW(), "")</f>
        <v/>
      </c>
      <c r="W13" s="152">
        <f>IFERROR(INDEX($H$4:$H$100,SMALL($V$4:$V$100,ROWS($W$4:W13))-ROW($H$4)+1),"")</f>
        <v/>
      </c>
    </row>
    <row r="14" ht="144.45" customHeight="1" s="158">
      <c r="A14" s="109" t="n"/>
      <c r="B14" s="150" t="n"/>
      <c r="C14" s="150" t="n"/>
      <c r="D14" s="148" t="inlineStr">
        <is>
          <t>Communication Management</t>
        </is>
      </c>
      <c r="E14" s="24" t="inlineStr">
        <is>
          <t>Des modèles de communication de crise (emails, communiqués de presse) sont-ils préparés ?</t>
        </is>
      </c>
      <c r="F14" s="24" t="inlineStr">
        <is>
          <t>S’assurer que des modèles de communication préapprouvés sont disponibles afin de garantir des messages rapides, cohérents et maîtrisés en situation de crise.</t>
        </is>
      </c>
      <c r="G14" s="23" t="inlineStr">
        <is>
          <t>Modèles de messages, communiqués préapprouvés, modèles d’email/SMS, kit de communication</t>
        </is>
      </c>
      <c r="H14" s="149" t="n"/>
      <c r="I14" s="149" t="n"/>
      <c r="J14" s="149" t="n"/>
      <c r="K14" s="109" t="n"/>
      <c r="V14" s="152">
        <f>IF(J14="No",ROW(), "")</f>
        <v/>
      </c>
      <c r="W14" s="152">
        <f>IFERROR(INDEX($H$4:$H$100,SMALL($V$4:$V$100,ROWS($W$4:W14))-ROW($H$4)+1),"")</f>
        <v/>
      </c>
    </row>
    <row r="15" ht="52.95" customHeight="1" s="158">
      <c r="A15" s="109" t="n"/>
      <c r="B15" s="150" t="n"/>
      <c r="C15" s="150" t="n"/>
      <c r="D15" s="151" t="inlineStr">
        <is>
          <t>Resource Management</t>
        </is>
      </c>
      <c r="E15" s="187" t="inlineStr">
        <is>
          <t>Le personnel critique est-il identifié et formé ?</t>
        </is>
      </c>
      <c r="F15" s="183" t="inlineStr">
        <is>
          <t>S’assurer que le personnel critique est identifié et correctement formé pour assurer ses missions en cas de perturbation.</t>
        </is>
      </c>
      <c r="G15" s="188" t="inlineStr">
        <is>
          <t>Liste du personnel critique, plan de formation, feuilles de présence, exercices ciblés</t>
        </is>
      </c>
      <c r="H15" s="148" t="inlineStr">
        <is>
          <t>Comment l’entreprise s’assure-t-elle que les équipes connaissent leurs rôles en cas de crise ?</t>
        </is>
      </c>
      <c r="I15" s="148" t="inlineStr">
        <is>
          <t>ISO 22301:2019 8.4.2.2, 8.4.2.4 ;     ISO/IEC 27001:2022 Annexe A A.5.2</t>
        </is>
      </c>
      <c r="J15" s="151" t="inlineStr">
        <is>
          <t>No</t>
        </is>
      </c>
      <c r="K15" s="109" t="n"/>
      <c r="V15" s="152">
        <f>IF(J15="No",ROW(), "")</f>
        <v/>
      </c>
      <c r="W15" s="152">
        <f>IFERROR(INDEX($H$4:$H$100,SMALL($V$4:$V$100,ROWS($W$4:W15))-ROW($H$4)+1),"")</f>
        <v/>
      </c>
    </row>
    <row r="16" ht="91.05" customHeight="1" s="158">
      <c r="A16" s="109" t="n"/>
      <c r="B16" s="150" t="n"/>
      <c r="C16" s="150" t="n"/>
      <c r="D16" s="149" t="n"/>
      <c r="E16" s="149" t="n"/>
      <c r="F16" s="149" t="n"/>
      <c r="G16" s="149" t="n"/>
      <c r="H16" s="185" t="inlineStr">
        <is>
          <t>Le personnel critique a-t-il été identifié et formé de manière appropriée pour faire face aux perturbations ?</t>
        </is>
      </c>
      <c r="I16" s="185" t="inlineStr">
        <is>
          <t>ISO 22301:2019 7.2, §7.3 ;               ISO/IEC 27001:2022 Annexe A A.6.3</t>
        </is>
      </c>
      <c r="J16" s="151" t="inlineStr">
        <is>
          <t>No</t>
        </is>
      </c>
      <c r="K16" s="109" t="n"/>
      <c r="V16" s="152">
        <f>IF(J16="No",ROW(), "")</f>
        <v/>
      </c>
      <c r="W16" s="152">
        <f>IFERROR(INDEX($H$4:$H$100,SMALL($V$4:$V$100,ROWS($W$4:W16))-ROW($H$4)+1),"")</f>
        <v/>
      </c>
    </row>
    <row r="17" ht="124.05" customHeight="1" s="158">
      <c r="A17" s="109" t="n"/>
      <c r="B17" s="150" t="n"/>
      <c r="C17" s="150" t="n"/>
      <c r="D17" s="49" t="inlineStr">
        <is>
          <t xml:space="preserve">Procedures de reponse </t>
        </is>
      </c>
      <c r="E17" s="24" t="inlineStr">
        <is>
          <t>Les capacités de restauration sont-elles testées ?</t>
        </is>
      </c>
      <c r="F17" s="24" t="inlineStr">
        <is>
          <t>S’assurer que les capacités de restauration sont régulièrement testées afin de valider leur efficacité en situation réelle.</t>
        </is>
      </c>
      <c r="G17" s="23" t="inlineStr">
        <is>
          <t>Rapports de tests de restauration, preuves de succès/échec, journaux techniques, PV d’exercice PRA</t>
        </is>
      </c>
      <c r="H17" s="184" t="inlineStr">
        <is>
          <t>Quand les scénarios du BIA ont-ils été testés pour la dernière fois et quels types de tests ont été réalisés ?</t>
        </is>
      </c>
      <c r="I17" s="186" t="inlineStr">
        <is>
          <t>ISO 22301:2019 §8.5 ; ISO/IEC 27001:2022 Annexe A A.5.30</t>
        </is>
      </c>
      <c r="J17" s="151" t="inlineStr">
        <is>
          <t>No</t>
        </is>
      </c>
      <c r="K17" s="109" t="n"/>
      <c r="V17" s="152">
        <f>IF(J17="No",ROW(), "")</f>
        <v/>
      </c>
      <c r="W17" s="152">
        <f>IFERROR(INDEX($H$4:$H$100,SMALL($V$4:$V$100,ROWS($W$4:W17))-ROW($H$4)+1),"")</f>
        <v/>
      </c>
    </row>
    <row r="18" ht="123" customHeight="1" s="158">
      <c r="A18" s="109" t="n"/>
      <c r="B18" s="150" t="n"/>
      <c r="C18" s="150" t="n"/>
      <c r="D18" s="148" t="inlineStr">
        <is>
          <t>Testing &amp; Exercises</t>
        </is>
      </c>
      <c r="E18" s="24" t="inlineStr">
        <is>
          <t>Différents types de tests sont-ils réalisés (tabletop, techniques, à grande échelle) ?</t>
        </is>
      </c>
      <c r="F18" s="24" t="inlineStr">
        <is>
          <t>S’assurer qu’une variété de tests (tabletop, techniques, à grande échelle) est réalisée afin d’évaluer de manière complète les différents aspects du PCA.</t>
        </is>
      </c>
      <c r="G18" s="23" t="inlineStr">
        <is>
          <t>Programme d’exercices, rapports distincts par type de test, scénarios tabletop/techniques/full-scale</t>
        </is>
      </c>
      <c r="H18" s="149" t="n"/>
      <c r="I18" s="149" t="n"/>
      <c r="J18" s="149" t="n"/>
      <c r="K18" s="109" t="n"/>
      <c r="V18" s="152">
        <f>IF(J18="No",ROW(), "")</f>
        <v/>
      </c>
      <c r="W18" s="152">
        <f>IFERROR(INDEX($H$4:$H$100,SMALL($V$4:$V$100,ROWS($W$4:W18))-ROW($H$4)+1),"")</f>
        <v/>
      </c>
    </row>
    <row r="19" ht="118.05" customHeight="1" s="158">
      <c r="A19" s="109" t="n"/>
      <c r="B19" s="150" t="n"/>
      <c r="C19" s="150" t="n"/>
      <c r="D19" s="148" t="inlineStr">
        <is>
          <t>Stratégies IT</t>
        </is>
      </c>
      <c r="E19" s="24" t="inlineStr">
        <is>
          <t>Des ressources de secours sont-elles disponibles et documentées ?</t>
        </is>
      </c>
      <c r="F19" s="24" t="inlineStr">
        <is>
          <t>S’assurer que des ressources de secours sont disponibles et correctement documentées afin de garantir la continuité en cas de défaillance des ressources.</t>
        </is>
      </c>
      <c r="G19" s="23" t="inlineStr">
        <is>
          <t>Contrats de secours, équipements redondants, fournisseurs alternatifs, stock de sécurité</t>
        </is>
      </c>
      <c r="H19" s="185" t="inlineStr">
        <is>
          <t>Votre organisation dispose-t-elle d’une solution de réplication et/ou de sauvegarde des données ?</t>
        </is>
      </c>
      <c r="I19" s="186" t="inlineStr">
        <is>
          <t>ISO 22301:2019 §8.3.4(b), §8.3.4(e) ; ISO/IEC 27001:2022 Annexe A A.8.13, A.8.14</t>
        </is>
      </c>
      <c r="J19" s="151" t="inlineStr">
        <is>
          <t>Yes</t>
        </is>
      </c>
      <c r="K19" s="109" t="n"/>
      <c r="M19" s="111" t="n"/>
      <c r="N19" s="111" t="n"/>
      <c r="V19" s="152">
        <f>IF(J19="No",ROW(), "")</f>
        <v/>
      </c>
      <c r="W19" s="152">
        <f>IFERROR(INDEX($H$4:$H$100,SMALL($V$4:$V$100,ROWS($W$4:W19))-ROW($H$4)+1),"")</f>
        <v/>
      </c>
    </row>
    <row r="20" ht="123" customHeight="1" s="158">
      <c r="A20" s="109" t="n"/>
      <c r="B20" s="150" t="n"/>
      <c r="C20" s="150" t="n"/>
      <c r="D20" s="150" t="n"/>
      <c r="E20" s="24" t="inlineStr">
        <is>
          <t>Les données sont-elles sauvegardées régulièrement ?</t>
        </is>
      </c>
      <c r="F20" s="24" t="inlineStr">
        <is>
          <t>S’assurer que les données sont sauvegardées de manière régulière afin de limiter la perte de données en cas d’incident.</t>
        </is>
      </c>
      <c r="G20" s="23" t="inlineStr">
        <is>
          <t>Politique de sauvegarde, planning des sauvegardes, logs de sauvegarde, tableaux de suivi</t>
        </is>
      </c>
      <c r="H20" s="150" t="n"/>
      <c r="I20" s="150" t="n"/>
      <c r="J20" s="150" t="n"/>
      <c r="K20" s="41" t="n"/>
      <c r="L20" s="37" t="n"/>
      <c r="M20" s="37" t="n"/>
      <c r="N20" s="37" t="n"/>
      <c r="O20" s="38" t="n"/>
      <c r="V20" s="152">
        <f>IF(J20="No",ROW(), "")</f>
        <v/>
      </c>
      <c r="W20" s="152">
        <f>IFERROR(INDEX($H$4:$H$100,SMALL($V$4:$V$100,ROWS($W$4:W20))-ROW($H$4)+1),"")</f>
        <v/>
      </c>
    </row>
    <row r="21" ht="106.05" customHeight="1" s="158">
      <c r="A21" s="109" t="n"/>
      <c r="B21" s="150" t="n"/>
      <c r="C21" s="149" t="n"/>
      <c r="D21" s="149" t="n"/>
      <c r="E21" s="24" t="inlineStr">
        <is>
          <t>Les solutions de réplication des données sont-elles mises en place ?</t>
        </is>
      </c>
      <c r="F21" s="24" t="inlineStr">
        <is>
          <t>S’assurer que des solutions de réplication des données sont mises en place afin de garantir la disponibilité et la résilience des données critiques.</t>
        </is>
      </c>
      <c r="G21" s="23" t="inlineStr">
        <is>
          <t>Architecture de réplication, configurations techniques, contrats/outils de réplication, tableaux de bord de supervision</t>
        </is>
      </c>
      <c r="H21" s="149" t="n"/>
      <c r="I21" s="149" t="n"/>
      <c r="J21" s="149" t="n"/>
      <c r="K21" s="109" t="n"/>
      <c r="V21" s="152">
        <f>IF(J21="No",ROW(), "")</f>
        <v/>
      </c>
      <c r="W21" s="152">
        <f>IFERROR(INDEX($H$4:$H$100,SMALL($V$4:$V$100,ROWS($W$4:W21))-ROW($H$4)+1),"")</f>
        <v/>
      </c>
    </row>
    <row r="22" ht="78" customHeight="1" s="158">
      <c r="A22" s="109" t="n"/>
      <c r="B22" s="150" t="n"/>
      <c r="C22" s="151" t="inlineStr">
        <is>
          <t>STRATÉGIES DE CONTINUITÉ</t>
        </is>
      </c>
      <c r="D22" s="151" t="inlineStr">
        <is>
          <t>Stratégies Opérationnelles</t>
        </is>
      </c>
      <c r="E22" s="187" t="inlineStr">
        <is>
          <t>Existe-t-il des plans de relocalisation des équipes ?</t>
        </is>
      </c>
      <c r="F22" s="183" t="inlineStr">
        <is>
          <t>S’assurer que des plans de relocalisation des équipes sont définis afin de maintenir les opérations en cas d’indisponibilité des sites principaux.</t>
        </is>
      </c>
      <c r="G22" s="23" t="inlineStr">
        <is>
          <t>Plan de relocalisation, sites alternatifs identifiés, accords logistiques, scénarios de transfert testés</t>
        </is>
      </c>
      <c r="H22" s="184" t="inlineStr">
        <is>
          <t>Les plans de relocalisation, les sites alternatifs, les accords logistiques ainsi que les environnements de reprise d’activité (PRA) ,incluant les contrats, la documentation et l’architecture cible  sont-ils définis, documentés et testés (y compris les scénarios de transfert) ?</t>
        </is>
      </c>
      <c r="I22" s="186" t="inlineStr">
        <is>
          <t>ISO 22301:2019 8.3.4, 8.3.5, 8.5 ;     ISO/IEC 27001:2022 Annexe A A.5.30</t>
        </is>
      </c>
      <c r="J22" s="151" t="inlineStr">
        <is>
          <t>Yes</t>
        </is>
      </c>
      <c r="K22" s="109" t="n"/>
      <c r="V22" s="152">
        <f>IF(J22="No",ROW(), "")</f>
        <v/>
      </c>
      <c r="W22" s="152">
        <f>IFERROR(INDEX($H$4:$H$100,SMALL($V$4:$V$100,ROWS($W$4:W22))-ROW($H$4)+1),"")</f>
        <v/>
      </c>
    </row>
    <row r="23" ht="72" customHeight="1" s="158">
      <c r="A23" s="109" t="n"/>
      <c r="B23" s="150" t="n"/>
      <c r="C23" s="150" t="n"/>
      <c r="D23" s="149" t="n"/>
      <c r="E23" s="149" t="n"/>
      <c r="F23" s="149" t="n"/>
      <c r="G23" s="23" t="inlineStr">
        <is>
          <t>Liste de ressources de secours, contrats de secours, solutions alternatives documentées, sites/relais identifiés</t>
        </is>
      </c>
      <c r="H23" s="150" t="n"/>
      <c r="I23" s="150" t="n"/>
      <c r="J23" s="150" t="n"/>
      <c r="K23" s="109" t="n"/>
      <c r="V23" s="152">
        <f>IF(J23="No",ROW(), "")</f>
        <v/>
      </c>
      <c r="W23" s="152">
        <f>IFERROR(INDEX($H$4:$H$100,SMALL($V$4:$V$100,ROWS($W$4:W23))-ROW($H$4)+1),"")</f>
        <v/>
      </c>
    </row>
    <row r="24" ht="72" customHeight="1" s="158">
      <c r="A24" s="109" t="n"/>
      <c r="B24" s="150" t="n"/>
      <c r="C24" s="150" t="n"/>
      <c r="D24" s="148" t="inlineStr">
        <is>
          <t>Recovery Strategies</t>
        </is>
      </c>
      <c r="E24" s="24" t="inlineStr">
        <is>
          <t xml:space="preserve">Les sites alternatifs sont-ils modifiés ? </t>
        </is>
      </c>
      <c r="F24" s="24" t="inlineStr">
        <is>
          <t>S’assurer que des sites ou systèmes alternatifs sont identifiés afin de maintenir ou de rétablir les opérations lorsque les ressources principales sont indisponibles.</t>
        </is>
      </c>
      <c r="G24" s="23" t="inlineStr">
        <is>
          <t>Contrats/site de repli, documentation DR site, inventaire environnements de secours, architecture cible</t>
        </is>
      </c>
      <c r="H24" s="149" t="n"/>
      <c r="I24" s="149" t="n"/>
      <c r="J24" s="149" t="n"/>
      <c r="K24" s="109" t="n"/>
      <c r="V24" s="152">
        <f>IF(J24="No",ROW(), "")</f>
        <v/>
      </c>
      <c r="W24" s="152">
        <f>IFERROR(INDEX($H$4:$H$100,SMALL($V$4:$V$100,ROWS($W$4:W24))-ROW($H$4)+1),"")</f>
        <v/>
      </c>
    </row>
    <row r="25" ht="100.8" customHeight="1" s="158">
      <c r="A25" s="109" t="n"/>
      <c r="B25" s="149" t="n"/>
      <c r="C25" s="149" t="n"/>
      <c r="D25" s="2" t="inlineStr">
        <is>
          <t>Resource Management</t>
        </is>
      </c>
      <c r="E25" s="35" t="inlineStr">
        <is>
          <t>L’entreprise intègre-t-elle les retours d’expérience dans les plans de continuité ?</t>
        </is>
      </c>
      <c r="F25" s="35" t="inlineStr">
        <is>
          <t>S’assurer que les retours d’expérience (incidents, exercices, tests) sont systématiquement analysés, documentés et intégrés dans les plans, afin de garantir l’amélioration continue de l’efficacité des dispositifs de continuité.</t>
        </is>
      </c>
      <c r="G25" s="35" t="inlineStr">
        <is>
          <t>Rapports de retour d’expérience, comptes rendus d’exercices/tests, plans mis à jour, procédures de gestion des changements, historiques des améliorations.</t>
        </is>
      </c>
      <c r="H25" s="35" t="inlineStr">
        <is>
          <t>Comment l’entreprise s’assure-t-elle que les retours d’expérience sont intégrés dans les plans ?</t>
        </is>
      </c>
      <c r="I25" s="2" t="inlineStr">
        <is>
          <t>ISO 22301:2019 8.6, 10.2 ;               ISO/IEC 27001:2022 Annexe A A.5.27</t>
        </is>
      </c>
      <c r="J25" s="151" t="inlineStr">
        <is>
          <t>Yes</t>
        </is>
      </c>
      <c r="K25" s="109" t="n"/>
      <c r="V25" s="152">
        <f>IF(J25="No",ROW(), "")</f>
        <v/>
      </c>
      <c r="W25" s="152">
        <f>IFERROR(INDEX($H$4:$H$100,SMALL($V$4:$V$100,ROWS($W$4:W25))-ROW($H$4)+1),"")</f>
        <v/>
      </c>
    </row>
    <row r="26">
      <c r="A26" s="109" t="n"/>
      <c r="B26" s="40" t="n"/>
      <c r="D26" s="40" t="n"/>
      <c r="K26" s="109" t="n"/>
    </row>
    <row r="27">
      <c r="A27" s="109" t="n"/>
      <c r="B27" s="40" t="n"/>
    </row>
    <row r="28">
      <c r="B28" s="40" t="n"/>
    </row>
  </sheetData>
  <mergeCells count="47">
    <mergeCell ref="L2:M2"/>
    <mergeCell ref="F15:F16"/>
    <mergeCell ref="H22:H24"/>
    <mergeCell ref="P3:P5"/>
    <mergeCell ref="H6:H7"/>
    <mergeCell ref="R3:R5"/>
    <mergeCell ref="J6:J7"/>
    <mergeCell ref="J22:J24"/>
    <mergeCell ref="H19:H21"/>
    <mergeCell ref="I19:I21"/>
    <mergeCell ref="H12:H14"/>
    <mergeCell ref="C22:C25"/>
    <mergeCell ref="C4:C9"/>
    <mergeCell ref="J12:J14"/>
    <mergeCell ref="H17:H18"/>
    <mergeCell ref="F22:F23"/>
    <mergeCell ref="J4:J5"/>
    <mergeCell ref="E15:E16"/>
    <mergeCell ref="I17:I18"/>
    <mergeCell ref="G15:G16"/>
    <mergeCell ref="D19:D21"/>
    <mergeCell ref="D12:D13"/>
    <mergeCell ref="L3:M5"/>
    <mergeCell ref="D15:D16"/>
    <mergeCell ref="D4:D7"/>
    <mergeCell ref="I8:I9"/>
    <mergeCell ref="O3:O5"/>
    <mergeCell ref="Q3:Q5"/>
    <mergeCell ref="I4:I5"/>
    <mergeCell ref="D8:D9"/>
    <mergeCell ref="N3:N5"/>
    <mergeCell ref="C10:C21"/>
    <mergeCell ref="J19:J21"/>
    <mergeCell ref="I10:I11"/>
    <mergeCell ref="B4:B25"/>
    <mergeCell ref="I22:I24"/>
    <mergeCell ref="D10:D11"/>
    <mergeCell ref="H8:H9"/>
    <mergeCell ref="J17:J18"/>
    <mergeCell ref="J8:J9"/>
    <mergeCell ref="H4:H5"/>
    <mergeCell ref="I12:I14"/>
    <mergeCell ref="I6:I7"/>
    <mergeCell ref="E22:E23"/>
    <mergeCell ref="J10:J11"/>
    <mergeCell ref="H10:H11"/>
    <mergeCell ref="D22:D23"/>
  </mergeCells>
  <conditionalFormatting sqref="B3:D3 E3:E4">
    <cfRule type="expression" priority="11" dxfId="6">
      <formula>$A3="header"</formula>
    </cfRule>
  </conditionalFormatting>
  <conditionalFormatting sqref="B3:J3">
    <cfRule type="expression" priority="5" dxfId="5">
      <formula>$A3="header"</formula>
    </cfRule>
    <cfRule type="expression" priority="6" dxfId="4">
      <formula>$A3="blank"</formula>
    </cfRule>
  </conditionalFormatting>
  <conditionalFormatting sqref="E5">
    <cfRule type="expression" priority="18" dxfId="6">
      <formula>$A6="header"</formula>
    </cfRule>
    <cfRule type="expression" priority="19" dxfId="5">
      <formula>$A6="header"</formula>
    </cfRule>
    <cfRule type="expression" priority="20" dxfId="4">
      <formula>$A6="blank"</formula>
    </cfRule>
  </conditionalFormatting>
  <conditionalFormatting sqref="E6">
    <cfRule type="expression" priority="13" dxfId="6">
      <formula>$A5="header"</formula>
    </cfRule>
    <cfRule type="expression" priority="16" dxfId="5">
      <formula>$A5="header"</formula>
    </cfRule>
    <cfRule type="expression" priority="17" dxfId="4">
      <formula>$A5="blank"</formula>
    </cfRule>
  </conditionalFormatting>
  <conditionalFormatting sqref="E4:F4">
    <cfRule type="expression" priority="9" dxfId="5">
      <formula>$A4="header"</formula>
    </cfRule>
    <cfRule type="expression" priority="10" dxfId="4">
      <formula>$A4="blank"</formula>
    </cfRule>
  </conditionalFormatting>
  <conditionalFormatting sqref="J4 J6 J8 J10 J12 J15:J17 J19 J22 J25">
    <cfRule type="cellIs" priority="1" operator="equal" dxfId="3">
      <formula>"N/A"</formula>
    </cfRule>
    <cfRule type="cellIs" priority="2" operator="equal" dxfId="2">
      <formula>"N/A"</formula>
    </cfRule>
    <cfRule type="cellIs" priority="3" operator="equal" dxfId="1">
      <formula>"No"</formula>
    </cfRule>
    <cfRule type="cellIs" priority="4" operator="equal" dxfId="0">
      <formula>"Yes"</formula>
    </cfRule>
  </conditionalFormatting>
  <dataValidations count="2">
    <dataValidation sqref="J4 J6 J8 J10 J12 J15:J17 J19 J22 J25" showDropDown="0" showInputMessage="1" showErrorMessage="1" allowBlank="1" type="list">
      <formula1>"Yes,No,N/A"</formula1>
    </dataValidation>
    <dataValidation sqref="T4" showDropDown="0" showInputMessage="1" showErrorMessage="1" allowBlank="1" type="list">
      <formula1>"Oumayma,Dhia"</formula1>
    </dataValidation>
  </dataValidations>
  <pageMargins left="0.7" right="0.7" top="0.75" bottom="0.75" header="0.3" footer="0.3"/>
</worksheet>
</file>

<file path=xl/worksheets/sheet7.xml><?xml version="1.0" encoding="utf-8"?>
<worksheet xmlns="http://schemas.openxmlformats.org/spreadsheetml/2006/main">
  <sheetPr>
    <tabColor theme="9" tint="-0.249977111117893"/>
    <outlinePr summaryBelow="1" summaryRight="1"/>
    <pageSetUpPr/>
  </sheetPr>
  <dimension ref="A1:W12"/>
  <sheetViews>
    <sheetView topLeftCell="N1" zoomScale="73" zoomScaleNormal="50" workbookViewId="0">
      <selection activeCell="V4" sqref="V4"/>
    </sheetView>
  </sheetViews>
  <sheetFormatPr baseColWidth="10" defaultRowHeight="14.4"/>
  <cols>
    <col width="24" customWidth="1" style="158" min="2" max="2"/>
    <col width="19.33203125" customWidth="1" style="158" min="3" max="3"/>
    <col width="25.109375" customWidth="1" style="158" min="4" max="4"/>
    <col width="22.6640625" customWidth="1" style="158" min="5" max="5"/>
    <col width="25.44140625" customWidth="1" style="158" min="6" max="6"/>
    <col width="27.6640625" customWidth="1" style="158" min="7" max="7"/>
    <col width="38.44140625" customWidth="1" style="158" min="8" max="9"/>
    <col width="17.21875" customWidth="1" style="158" min="10" max="10"/>
    <col width="11.77734375" customWidth="1" style="158" min="12" max="12"/>
    <col hidden="1" width="11.5546875" customWidth="1" style="158" min="13" max="13"/>
    <col width="17.33203125" customWidth="1" style="158" min="14" max="14"/>
    <col width="29.33203125" customWidth="1" style="158" min="15" max="15"/>
    <col width="18.33203125" customWidth="1" style="158" min="16" max="16"/>
    <col width="18.6640625" customWidth="1" style="158" min="17" max="17"/>
    <col width="20.21875" customWidth="1" style="158" min="18" max="18"/>
    <col width="19.88671875" customWidth="1" style="158" min="19" max="19"/>
    <col width="42.21875" customWidth="1" style="158" min="20" max="20"/>
    <col width="108.44140625" customWidth="1" style="158" min="23" max="23"/>
  </cols>
  <sheetData>
    <row r="1" ht="15" customHeight="1" s="158" thickBot="1">
      <c r="K1" s="109" t="n"/>
      <c r="L1" s="109" t="n"/>
    </row>
    <row r="2" ht="24" customHeight="1" s="158" thickBot="1">
      <c r="A2" s="109" t="n"/>
      <c r="B2" s="109" t="n"/>
      <c r="C2" s="109" t="n"/>
      <c r="D2" s="109" t="n"/>
      <c r="E2" s="109" t="n"/>
      <c r="F2" s="109" t="n"/>
      <c r="G2" s="109" t="n"/>
      <c r="H2" s="109" t="n"/>
      <c r="I2" s="109" t="n"/>
      <c r="J2" s="109" t="n"/>
      <c r="K2" s="109" t="n"/>
      <c r="L2" s="109" t="n"/>
      <c r="M2" s="109" t="n"/>
      <c r="N2" s="155" t="inlineStr">
        <is>
          <t>Nb Question</t>
        </is>
      </c>
      <c r="O2" s="156" t="n"/>
      <c r="P2" s="92" t="inlineStr">
        <is>
          <t>Nb app</t>
        </is>
      </c>
      <c r="Q2" s="47" t="inlineStr">
        <is>
          <t>Yes</t>
        </is>
      </c>
      <c r="R2" s="47" t="inlineStr">
        <is>
          <t>No</t>
        </is>
      </c>
      <c r="S2" s="47" t="inlineStr">
        <is>
          <t>N/A</t>
        </is>
      </c>
      <c r="T2" s="47" t="inlineStr">
        <is>
          <t>SCORE DU DOMAIN</t>
        </is>
      </c>
    </row>
    <row r="3" ht="14.55" customHeight="1" s="158">
      <c r="A3" s="109" t="n"/>
      <c r="B3" s="4" t="inlineStr">
        <is>
          <t>Domaine</t>
        </is>
      </c>
      <c r="C3" s="4" t="inlineStr">
        <is>
          <t>Sous Domaine</t>
        </is>
      </c>
      <c r="D3" s="4" t="inlineStr">
        <is>
          <t>Catégorie de contrôle</t>
        </is>
      </c>
      <c r="E3" s="4" t="inlineStr">
        <is>
          <t>Contrôle</t>
        </is>
      </c>
      <c r="F3" s="4" t="inlineStr">
        <is>
          <t>Objectif</t>
        </is>
      </c>
      <c r="G3" s="10" t="inlineStr">
        <is>
          <t>Preuves possibles</t>
        </is>
      </c>
      <c r="H3" s="4" t="inlineStr">
        <is>
          <t>Question finale</t>
        </is>
      </c>
      <c r="I3" s="4" t="inlineStr">
        <is>
          <t>reference</t>
        </is>
      </c>
      <c r="J3" s="4" t="inlineStr">
        <is>
          <t>Result</t>
        </is>
      </c>
      <c r="K3" s="110" t="n"/>
      <c r="L3" s="109" t="n"/>
      <c r="M3" s="109" t="n"/>
      <c r="N3" s="166">
        <f>COUNTA(H4:H13)</f>
        <v/>
      </c>
      <c r="O3" s="167" t="n"/>
      <c r="P3" s="181">
        <f>N3-S3</f>
        <v/>
      </c>
      <c r="Q3" s="175">
        <f>COUNTIF(J4:J10,"Yes")</f>
        <v/>
      </c>
      <c r="R3" s="172">
        <f>COUNTIF(J4:J11,"No")</f>
        <v/>
      </c>
      <c r="S3" s="160">
        <f>COUNTIF(J4:J10,"N/A")</f>
        <v/>
      </c>
      <c r="T3" s="175">
        <f>Q3/P3</f>
        <v/>
      </c>
      <c r="V3" s="120" t="n"/>
      <c r="W3" s="120" t="n"/>
    </row>
    <row r="4" ht="78" customHeight="1" s="158">
      <c r="A4" s="109" t="n"/>
      <c r="B4" s="151" t="inlineStr">
        <is>
          <t xml:space="preserve">Forensics </t>
        </is>
      </c>
      <c r="C4" s="151" t="inlineStr">
        <is>
          <t>Exigences de conservation de preuve</t>
        </is>
      </c>
      <c r="D4" s="151" t="inlineStr">
        <is>
          <t>cadre de gestion des preuves</t>
        </is>
      </c>
      <c r="E4" s="9" t="inlineStr">
        <is>
          <t>Les types de preuves (logs, images disque, emails, etc.) sont-ils identifiés ?</t>
        </is>
      </c>
      <c r="F4" s="9" t="inlineStr">
        <is>
          <t>S’assurer que tous les types de preuves pertinents (journaux, images disque, e-mails, etc.) sont identifiés afin de soutenir des investigations approfondies.</t>
        </is>
      </c>
      <c r="G4" s="7" t="inlineStr">
        <is>
          <t>Typologie des preuves ; guide de collecte ; inventaire des sources de preuve</t>
        </is>
      </c>
      <c r="H4" s="148" t="inlineStr">
        <is>
          <t>Quel est le périmètre de la collecte des preuves et quels outils sont utilisés pour cette collecte ?</t>
        </is>
      </c>
      <c r="I4" s="148" t="inlineStr">
        <is>
          <t>iso 27037 clause 5 . ISO/IEC 27001:2022 - 5.28</t>
        </is>
      </c>
      <c r="J4" s="151" t="inlineStr">
        <is>
          <t>Yes</t>
        </is>
      </c>
      <c r="K4" s="109" t="n"/>
      <c r="L4" s="109" t="n"/>
      <c r="M4" s="109" t="n"/>
      <c r="N4" s="168" t="n"/>
      <c r="O4" s="169" t="n"/>
      <c r="P4" s="161" t="n"/>
      <c r="Q4" s="161" t="n"/>
      <c r="R4" s="161" t="n"/>
      <c r="S4" s="161" t="n"/>
      <c r="T4" s="161" t="n"/>
      <c r="V4" s="5">
        <f>IF(J4="No",ROW(), "")</f>
        <v/>
      </c>
      <c r="W4" s="5">
        <f>IFERROR(INDEX($H$4:$H$100,SMALL($V$4:$V$100,ROWS($W4:W$4))-ROW($H$4)+1),"")</f>
        <v/>
      </c>
    </row>
    <row r="5" ht="82.95" customHeight="1" s="158" thickBot="1">
      <c r="A5" s="109" t="n"/>
      <c r="B5" s="150" t="n"/>
      <c r="C5" s="150" t="n"/>
      <c r="D5" s="149" t="n"/>
      <c r="E5" s="9" t="inlineStr">
        <is>
          <t>Les outils de collecte utilisés sont-ils validés et fiables ?</t>
        </is>
      </c>
      <c r="F5" s="9" t="inlineStr">
        <is>
          <t>S’assurer que les outils de collecte sont validés et fiables afin de garantir l’intégrité et l’exactitude des preuves.</t>
        </is>
      </c>
      <c r="G5" s="7" t="inlineStr">
        <is>
          <t>Liste des outils approuvés ; rapports de validation ; documentation technique</t>
        </is>
      </c>
      <c r="H5" s="149" t="n"/>
      <c r="I5" s="148" t="inlineStr">
        <is>
          <t>iso 27037 clause 6 . ISO/IEC 27001:2022 - 5.28</t>
        </is>
      </c>
      <c r="J5" s="149" t="n"/>
      <c r="K5" s="109" t="n"/>
      <c r="L5" s="109" t="n"/>
      <c r="M5" s="109" t="n"/>
      <c r="N5" s="170" t="n"/>
      <c r="O5" s="171" t="n"/>
      <c r="P5" s="162" t="n"/>
      <c r="Q5" s="162" t="n"/>
      <c r="R5" s="162" t="n"/>
      <c r="S5" s="162" t="n"/>
      <c r="T5" s="162" t="n"/>
      <c r="V5" s="5">
        <f>IF(J5="No",ROW(), "")</f>
        <v/>
      </c>
      <c r="W5" s="5">
        <f>IFERROR(INDEX($H$4:$H$100,SMALL($V$4:$V$100,ROWS($W$4:W5))-ROW($H$4)+1),"")</f>
        <v/>
      </c>
    </row>
    <row r="6" ht="88.5" customHeight="1" s="158" thickBot="1">
      <c r="A6" s="109" t="n"/>
      <c r="B6" s="150" t="n"/>
      <c r="C6" s="150" t="n"/>
      <c r="D6" s="151" t="inlineStr">
        <is>
          <t>Identification et collecte des preuves</t>
        </is>
      </c>
      <c r="E6" s="9" t="inlineStr">
        <is>
          <t>Les intervenants savent-ils quoi collecter et quand ?</t>
        </is>
      </c>
      <c r="F6" s="9" t="inlineStr">
        <is>
          <t>S’assurer que le personnel sait quelles preuves collecter et à quel moment, afin de soutenir des processus forensiques efficaces.</t>
        </is>
      </c>
      <c r="G6" s="7" t="inlineStr">
        <is>
          <t>Guide opérationnel ; supports de formation ; fiches réflexes</t>
        </is>
      </c>
      <c r="H6" s="148" t="inlineStr">
        <is>
          <t>Les personnes chargées de la collecte des preuves sont-elles qualifiées pour effectuer cette tâche, et quelle méthode de collecte est utilisée ?</t>
        </is>
      </c>
      <c r="I6" s="148" t="inlineStr">
        <is>
          <t>iso 27037 clause 6 + annexe A  ; ISO/IEC 27001:2022 - 5.28</t>
        </is>
      </c>
      <c r="J6" s="151" t="inlineStr">
        <is>
          <t>Yes</t>
        </is>
      </c>
      <c r="K6" s="109" t="n"/>
      <c r="L6" s="109" t="n"/>
      <c r="M6" s="109" t="n"/>
      <c r="N6" s="108" t="inlineStr">
        <is>
          <t>Auditeur</t>
        </is>
      </c>
      <c r="O6" s="107" t="inlineStr">
        <is>
          <t>Oumayma</t>
        </is>
      </c>
      <c r="P6" s="46" t="n"/>
      <c r="V6" s="5">
        <f>IF(J6="No",ROW(), "")</f>
        <v/>
      </c>
      <c r="W6" s="5">
        <f>IFERROR(INDEX($H$4:$H$100,SMALL($V$4:$V$100,ROWS($W$4:W6))-ROW($H$4)+1),"")</f>
        <v/>
      </c>
    </row>
    <row r="7" ht="76.5" customHeight="1" s="158">
      <c r="A7" s="109" t="n"/>
      <c r="B7" s="150" t="n"/>
      <c r="C7" s="150" t="n"/>
      <c r="D7" s="149" t="n"/>
      <c r="E7" s="9" t="inlineStr">
        <is>
          <t>Les méthodes de collecte garantissent-elles l’intégrité des preuves ?</t>
        </is>
      </c>
      <c r="F7" s="9" t="inlineStr">
        <is>
          <t>S’assurer que les méthodes de collecte préservent l’intégrité des preuves afin d’éviter toute altération ou perte.</t>
        </is>
      </c>
      <c r="G7" s="7" t="inlineStr">
        <is>
          <t>Procédure de collecte ; chaîne de conservation ; formulaires de traçabilité</t>
        </is>
      </c>
      <c r="H7" s="149" t="n"/>
      <c r="I7" s="148" t="inlineStr">
        <is>
          <t>iso 27037 clause 6-7 . ISO/IEC 27001:2022 - 5.28</t>
        </is>
      </c>
      <c r="J7" s="149" t="n"/>
      <c r="K7" s="109" t="n"/>
      <c r="L7" s="109" t="n"/>
      <c r="M7" s="109" t="n"/>
      <c r="N7" s="109" t="n"/>
      <c r="O7" s="109" t="n"/>
      <c r="P7" s="109" t="n"/>
      <c r="Q7" s="89" t="n"/>
      <c r="V7" s="5">
        <f>IF(J7="No",ROW(), "")</f>
        <v/>
      </c>
      <c r="W7" s="5">
        <f>IFERROR(INDEX($H$4:$H$100,SMALL($V$4:$V$100,ROWS($W$4:W7))-ROW($H$4)+1),"")</f>
        <v/>
      </c>
    </row>
    <row r="8" ht="98.55" customHeight="1" s="158">
      <c r="A8" s="109" t="n"/>
      <c r="B8" s="150" t="n"/>
      <c r="C8" s="150" t="n"/>
      <c r="D8" s="151" t="inlineStr">
        <is>
          <t>Stockage et protection des preuves</t>
        </is>
      </c>
      <c r="E8" s="9" t="inlineStr">
        <is>
          <t>L’accès au stockage est-il limité aux personnes autorisées ?</t>
        </is>
      </c>
      <c r="F8" s="9" t="inlineStr">
        <is>
          <t>S’assurer que l’accès au stockage des preuves est restreint au personnel autorisé afin de protéger la confidentialité et l’intégrité.</t>
        </is>
      </c>
      <c r="G8" s="7" t="inlineStr">
        <is>
          <t>Matrice des habilitations ; journal des accès ; procédure de contrôle d’accès</t>
        </is>
      </c>
      <c r="H8" s="148" t="inlineStr">
        <is>
          <t>Où sont stockées les preuves et qui peut y accéder ?</t>
        </is>
      </c>
      <c r="I8" s="148" t="inlineStr">
        <is>
          <t>iso 27037 clause 6 . ISO/IEC 27001:2022 6A.8.3 + A.8.15</t>
        </is>
      </c>
      <c r="J8" s="151" t="inlineStr">
        <is>
          <t>No</t>
        </is>
      </c>
      <c r="K8" s="109" t="n"/>
      <c r="L8" s="109" t="n"/>
      <c r="M8" s="109" t="n"/>
      <c r="Q8" s="93" t="n"/>
      <c r="R8" s="109" t="n"/>
      <c r="V8" s="5">
        <f>IF(J8="No",ROW(), "")</f>
        <v/>
      </c>
      <c r="W8" s="5">
        <f>IFERROR(INDEX($H$4:$H$100,SMALL($V$4:$V$100,ROWS($W$4:W8))-ROW($H$4)+1),"")</f>
        <v/>
      </c>
    </row>
    <row r="9" ht="75.45" customHeight="1" s="158">
      <c r="A9" s="109" t="n"/>
      <c r="B9" s="150" t="n"/>
      <c r="C9" s="150" t="n"/>
      <c r="D9" s="150" t="n"/>
      <c r="E9" s="9" t="inlineStr">
        <is>
          <t>Des sauvegardes des preuves sont-elles réalisées ?</t>
        </is>
      </c>
      <c r="F9" s="9" t="inlineStr">
        <is>
          <t>S’assurer que des sauvegardes des preuves sont effectuées afin d’éviter toute perte accidentelle ou corruption.</t>
        </is>
      </c>
      <c r="G9" s="7" t="inlineStr">
        <is>
          <t>Politique de sauvegarde ; journaux de sauvegarde ; rapports de test de restauration</t>
        </is>
      </c>
      <c r="H9" s="150" t="n"/>
      <c r="I9" s="148" t="inlineStr">
        <is>
          <t>iso 27037 clause 6 . ISO/IEC 27001:2022 -A.8.13</t>
        </is>
      </c>
      <c r="J9" s="150" t="n"/>
      <c r="K9" s="109" t="n"/>
      <c r="L9" s="109" t="n"/>
      <c r="M9" s="109" t="n"/>
      <c r="Q9" s="64" t="n"/>
      <c r="V9" s="5">
        <f>IF(J9="No",ROW(), "")</f>
        <v/>
      </c>
      <c r="W9" s="5">
        <f>IFERROR(INDEX($H$4:$H$100,SMALL($V$4:$V$100,ROWS($W$4:W9))-ROW($H$4)+1),"")</f>
        <v/>
      </c>
    </row>
    <row r="10" ht="109.95" customHeight="1" s="158">
      <c r="A10" s="109" t="n"/>
      <c r="B10" s="150" t="n"/>
      <c r="C10" s="150" t="n"/>
      <c r="D10" s="150" t="n"/>
      <c r="E10" s="182" t="inlineStr">
        <is>
          <t>Les preuves sont-elles stockées dans un environnement sécurisé ?</t>
        </is>
      </c>
      <c r="F10" s="182" t="inlineStr">
        <is>
          <t>S’assurer que les preuves sont stockées dans un environnement sécurisé afin de les protéger contre tout accès non autorisé ou dommage.</t>
        </is>
      </c>
      <c r="G10" s="180" t="inlineStr">
        <is>
          <t>Procédure de stockage sécurisé ; configuration du coffre ou dépôt sécurisé ; contrôle d’accès physique/logique</t>
        </is>
      </c>
      <c r="H10" s="149" t="n"/>
      <c r="I10" s="148" t="inlineStr">
        <is>
          <t>iso 27037 clause 6+7 + Annexe B . ISO/IEC 27001:2022- A.7.8 + A.8.15</t>
        </is>
      </c>
      <c r="J10" s="149" t="n"/>
      <c r="K10" s="109" t="n"/>
      <c r="L10" s="109" t="n"/>
      <c r="M10" s="109" t="n"/>
      <c r="Q10" s="64" t="n"/>
      <c r="V10" s="5">
        <f>IF(J10="No",ROW(), "")</f>
        <v/>
      </c>
      <c r="W10" s="5">
        <f>IFERROR(INDEX($H$4:$H$100,SMALL($V$4:$V$100,ROWS($W$4:W10))-ROW($H$4)+1),"")</f>
        <v/>
      </c>
    </row>
    <row r="11" ht="63" customHeight="1" s="158">
      <c r="A11" s="109" t="n"/>
      <c r="B11" s="149" t="n"/>
      <c r="C11" s="149" t="n"/>
      <c r="D11" s="149" t="n"/>
      <c r="E11" s="149" t="n"/>
      <c r="F11" s="149" t="n"/>
      <c r="G11" s="149" t="n"/>
      <c r="H11" s="2" t="inlineStr">
        <is>
          <t>Comment l’entreprise s’assure-t-elle que les enregistrements sont complets et n’ont fait l’objet d’aucune altération ?</t>
        </is>
      </c>
      <c r="I11" s="148" t="inlineStr">
        <is>
          <t>iso 27037 clause 6+7 + Annexe B . ISO/IEC 27001:2022- A.5.28 + A.8.15</t>
        </is>
      </c>
      <c r="J11" s="151" t="inlineStr">
        <is>
          <t>No</t>
        </is>
      </c>
      <c r="K11" s="109" t="n"/>
      <c r="L11" s="109" t="n"/>
      <c r="M11" s="109" t="n"/>
      <c r="V11" s="5">
        <f>IF(J11="No",ROW(), "")</f>
        <v/>
      </c>
      <c r="W11" s="5">
        <f>IFERROR(INDEX($H$4:$H$100,SMALL($V$4:$V$100,ROWS($W$4:W11))-ROW($H$4)+1),"")</f>
        <v/>
      </c>
    </row>
    <row r="12">
      <c r="A12" s="109" t="n"/>
      <c r="K12" s="109" t="n"/>
      <c r="L12" s="109" t="n"/>
      <c r="M12" s="109" t="n"/>
    </row>
  </sheetData>
  <mergeCells count="21">
    <mergeCell ref="B4:B11"/>
    <mergeCell ref="H6:H7"/>
    <mergeCell ref="P3:P5"/>
    <mergeCell ref="J6:J7"/>
    <mergeCell ref="R3:R5"/>
    <mergeCell ref="E10:E11"/>
    <mergeCell ref="G10:G11"/>
    <mergeCell ref="T3:T5"/>
    <mergeCell ref="N3:O5"/>
    <mergeCell ref="D4:D5"/>
    <mergeCell ref="J4:J5"/>
    <mergeCell ref="N2:O2"/>
    <mergeCell ref="S3:S5"/>
    <mergeCell ref="H8:H10"/>
    <mergeCell ref="C4:C11"/>
    <mergeCell ref="J8:J10"/>
    <mergeCell ref="Q3:Q5"/>
    <mergeCell ref="D8:D11"/>
    <mergeCell ref="H4:H5"/>
    <mergeCell ref="D6:D7"/>
    <mergeCell ref="F10:F11"/>
  </mergeCells>
  <conditionalFormatting sqref="B3:E3">
    <cfRule type="expression" priority="9" dxfId="6">
      <formula>$A3="header"</formula>
    </cfRule>
  </conditionalFormatting>
  <conditionalFormatting sqref="B3:K3">
    <cfRule type="expression" priority="5" dxfId="5">
      <formula>$A3="header"</formula>
    </cfRule>
    <cfRule type="expression" priority="6" dxfId="4">
      <formula>$A3="blank"</formula>
    </cfRule>
  </conditionalFormatting>
  <conditionalFormatting sqref="J4 J6 J8 J11">
    <cfRule type="cellIs" priority="1" operator="equal" dxfId="3">
      <formula>"N/A"</formula>
    </cfRule>
    <cfRule type="cellIs" priority="2" operator="equal" dxfId="2">
      <formula>"N/A"</formula>
    </cfRule>
    <cfRule type="cellIs" priority="3" operator="equal" dxfId="1">
      <formula>"No"</formula>
    </cfRule>
    <cfRule type="cellIs" priority="4" operator="equal" dxfId="0">
      <formula>"Yes"</formula>
    </cfRule>
  </conditionalFormatting>
  <dataValidations count="2">
    <dataValidation sqref="J4 J6 J8 J11" showDropDown="0" showInputMessage="1" showErrorMessage="1" allowBlank="1" type="list">
      <formula1>"Yes,No,N/A"</formula1>
    </dataValidation>
    <dataValidation sqref="O6" showDropDown="0" showInputMessage="1" showErrorMessage="1" allowBlank="1" type="list">
      <formula1>"Oumayma,Dhia"</formula1>
    </dataValidation>
  </dataValidations>
  <pageMargins left="0.7" right="0.7" top="0.75" bottom="0.75" header="0.3" footer="0.3"/>
</worksheet>
</file>

<file path=xl/worksheets/sheet8.xml><?xml version="1.0" encoding="utf-8"?>
<worksheet xmlns="http://schemas.openxmlformats.org/spreadsheetml/2006/main">
  <sheetPr>
    <tabColor rgb="FF002060"/>
    <outlinePr summaryBelow="1" summaryRight="1"/>
    <pageSetUpPr/>
  </sheetPr>
  <dimension ref="A1:X55"/>
  <sheetViews>
    <sheetView tabSelected="1" workbookViewId="0">
      <selection activeCell="D10" sqref="D10"/>
    </sheetView>
  </sheetViews>
  <sheetFormatPr baseColWidth="10" defaultRowHeight="14.4"/>
  <cols>
    <col width="18.6640625" customWidth="1" style="158" min="1" max="1"/>
    <col width="19.77734375" customWidth="1" style="158" min="2" max="2"/>
    <col width="17.33203125" customWidth="1" style="158" min="3" max="3"/>
    <col width="17.88671875" customWidth="1" style="158" min="4" max="4"/>
    <col width="18.6640625" customWidth="1" style="158" min="5" max="6"/>
    <col width="13.21875" customWidth="1" style="158" min="7" max="7"/>
    <col width="16.33203125" customWidth="1" style="158" min="11" max="11"/>
    <col width="31.6640625" customWidth="1" style="158" min="12" max="12"/>
    <col width="33.109375" customWidth="1" style="158" min="13" max="13"/>
    <col width="38.5546875" customWidth="1" style="158" min="14" max="14"/>
    <col width="29.44140625" customWidth="1" style="158" min="15" max="15"/>
    <col width="23.5546875" customWidth="1" style="158" min="16" max="16"/>
    <col width="23.33203125" customWidth="1" style="158" min="19" max="19"/>
    <col width="22.77734375" customWidth="1" style="158" min="20" max="20"/>
    <col width="23.21875" customWidth="1" style="158" min="21" max="21"/>
    <col width="23.109375" customWidth="1" style="158" min="22" max="22"/>
    <col width="23" customWidth="1" style="158" min="23" max="23"/>
    <col width="27.5546875" customWidth="1" style="158" min="24" max="24"/>
  </cols>
  <sheetData>
    <row r="1">
      <c r="A1" s="105" t="inlineStr">
        <is>
          <t>Domaine</t>
        </is>
      </c>
      <c r="B1" s="105" t="inlineStr">
        <is>
          <t>NbQuestion</t>
        </is>
      </c>
      <c r="C1" s="105" t="inlineStr">
        <is>
          <t>NbQuestionApp</t>
        </is>
      </c>
      <c r="D1" s="105" t="inlineStr">
        <is>
          <t>Yes</t>
        </is>
      </c>
      <c r="E1" s="105" t="inlineStr">
        <is>
          <t>No</t>
        </is>
      </c>
      <c r="F1" s="105" t="inlineStr">
        <is>
          <t>N/A</t>
        </is>
      </c>
      <c r="G1" s="105" t="inlineStr">
        <is>
          <t>ScoreDomain</t>
        </is>
      </c>
      <c r="H1" s="105" t="inlineStr">
        <is>
          <t>Ponderation</t>
        </is>
      </c>
      <c r="I1" s="105" t="inlineStr">
        <is>
          <t>Auditeur</t>
        </is>
      </c>
      <c r="K1" s="95" t="inlineStr">
        <is>
          <t xml:space="preserve"> Forensics</t>
        </is>
      </c>
      <c r="L1" s="95" t="inlineStr">
        <is>
          <t>Continuité d’activité</t>
        </is>
      </c>
      <c r="M1" s="95" t="inlineStr">
        <is>
          <t>Gestion de crise</t>
        </is>
      </c>
      <c r="N1" s="95" t="inlineStr">
        <is>
          <t xml:space="preserve"> Gestion Incidents</t>
        </is>
      </c>
      <c r="O1" s="95" t="inlineStr">
        <is>
          <t>Confirmitee</t>
        </is>
      </c>
      <c r="P1" s="95" t="inlineStr">
        <is>
          <t xml:space="preserve">Gouvernance </t>
        </is>
      </c>
      <c r="S1" s="95" t="inlineStr">
        <is>
          <t xml:space="preserve"> Forensics</t>
        </is>
      </c>
      <c r="T1" s="95" t="inlineStr">
        <is>
          <t>Continuité d’activité</t>
        </is>
      </c>
      <c r="U1" s="95" t="inlineStr">
        <is>
          <t>Gestion de crise</t>
        </is>
      </c>
      <c r="V1" s="95" t="inlineStr">
        <is>
          <t xml:space="preserve"> Gestion Incidents</t>
        </is>
      </c>
      <c r="W1" s="95" t="inlineStr">
        <is>
          <t>Confirmitee</t>
        </is>
      </c>
      <c r="X1" s="95" t="inlineStr">
        <is>
          <t xml:space="preserve">Gouvernance </t>
        </is>
      </c>
    </row>
    <row r="2" ht="14.55" customHeight="1" s="158">
      <c r="A2" s="105" t="inlineStr">
        <is>
          <t xml:space="preserve"> Forensics</t>
        </is>
      </c>
      <c r="B2" s="88">
        <f>'Questionnaire Domain Forensics'!$N$3</f>
        <v/>
      </c>
      <c r="C2" s="88">
        <f>'Questionnaire Domain Forensics'!$P$3</f>
        <v/>
      </c>
      <c r="D2" s="88">
        <f>'Questionnaire Domain Forensics'!$Q$3</f>
        <v/>
      </c>
      <c r="E2" s="88">
        <f>'Questionnaire Domain Forensics'!$R$3</f>
        <v/>
      </c>
      <c r="F2" s="88">
        <f>'Questionnaire Domain Forensics'!$S$3</f>
        <v/>
      </c>
      <c r="G2" s="96">
        <f>'Questionnaire Domain Forensics'!$T$3</f>
        <v/>
      </c>
      <c r="H2" s="98">
        <f>PONDERATION!$L$20</f>
        <v/>
      </c>
      <c r="I2" s="100">
        <f>'Questionnaire Domain Forensics'!$O$6</f>
        <v/>
      </c>
      <c r="K2" s="151">
        <f>'Questionnaire Domain Forensics'!W4</f>
        <v/>
      </c>
      <c r="L2" s="151">
        <f>'Question Continuité d’activité'!W4</f>
        <v/>
      </c>
      <c r="M2" s="151">
        <f>'Questionnaire Gestion de crise'!U4</f>
        <v/>
      </c>
      <c r="N2" s="151">
        <f>'Questionnaire Gestion Incidents'!U2</f>
        <v/>
      </c>
      <c r="O2" s="151">
        <f>'Questionnaire Confirmitee'!V4</f>
        <v/>
      </c>
      <c r="P2" s="122">
        <f>'Questionnaire Gouvernance '!X2</f>
        <v/>
      </c>
      <c r="S2" t="inlineStr"/>
      <c r="T2" t="inlineStr"/>
      <c r="U2" t="inlineStr"/>
      <c r="V2" t="inlineStr"/>
      <c r="W2" t="inlineStr"/>
      <c r="X2" t="inlineStr"/>
    </row>
    <row r="3" ht="14.55" customHeight="1" s="158">
      <c r="A3" s="105" t="inlineStr">
        <is>
          <t>Continuité d’activité</t>
        </is>
      </c>
      <c r="B3" s="88">
        <f>'Question Continuité d’activité'!$L$3</f>
        <v/>
      </c>
      <c r="C3" s="88">
        <f>'Question Continuité d’activité'!$N$3</f>
        <v/>
      </c>
      <c r="D3" s="88">
        <f>'Question Continuité d’activité'!$O$3</f>
        <v/>
      </c>
      <c r="E3" s="88">
        <f>'Question Continuité d’activité'!$P$3</f>
        <v/>
      </c>
      <c r="F3" s="88">
        <f>'Question Continuité d’activité'!$Q$3</f>
        <v/>
      </c>
      <c r="G3" s="96">
        <f>'Question Continuité d’activité'!$R$3</f>
        <v/>
      </c>
      <c r="H3" s="98">
        <f>PONDERATION!$L$19</f>
        <v/>
      </c>
      <c r="I3" s="100">
        <f>'Question Continuité d’activité'!$T$4</f>
        <v/>
      </c>
      <c r="K3" s="151">
        <f>'Questionnaire Domain Forensics'!W5</f>
        <v/>
      </c>
      <c r="L3" s="151">
        <f>'Question Continuité d’activité'!W5</f>
        <v/>
      </c>
      <c r="M3" s="151">
        <f>'Questionnaire Gestion de crise'!U5</f>
        <v/>
      </c>
      <c r="N3" s="151">
        <f>'Questionnaire Gestion Incidents'!U3</f>
        <v/>
      </c>
      <c r="O3" s="151">
        <f>'Questionnaire Confirmitee'!V5</f>
        <v/>
      </c>
      <c r="P3" s="122">
        <f>'Questionnaire Gouvernance '!X3</f>
        <v/>
      </c>
    </row>
    <row r="4" ht="14.55" customHeight="1" s="158">
      <c r="A4" s="105" t="inlineStr">
        <is>
          <t>Gestion de crise</t>
        </is>
      </c>
      <c r="B4" s="88">
        <f>'Questionnaire Gestion de crise'!$L$3</f>
        <v/>
      </c>
      <c r="C4" s="88">
        <f>'Questionnaire Gestion de crise'!$N$3</f>
        <v/>
      </c>
      <c r="D4" s="88">
        <f>'Questionnaire Gestion de crise'!$O$3</f>
        <v/>
      </c>
      <c r="E4" s="88">
        <f>'Questionnaire Gestion de crise'!$P$3</f>
        <v/>
      </c>
      <c r="F4" s="88">
        <f>'Questionnaire Gestion de crise'!$Q$3</f>
        <v/>
      </c>
      <c r="G4" s="96">
        <f>'Questionnaire Gestion de crise'!$R$3</f>
        <v/>
      </c>
      <c r="H4" s="98">
        <f>PONDERATION!$L$18</f>
        <v/>
      </c>
      <c r="I4" s="100">
        <f>'Questionnaire Gestion de crise'!$M$7</f>
        <v/>
      </c>
      <c r="K4" s="151">
        <f>'Questionnaire Domain Forensics'!W6</f>
        <v/>
      </c>
      <c r="L4" s="151">
        <f>'Question Continuité d’activité'!W6</f>
        <v/>
      </c>
      <c r="M4" s="151">
        <f>'Questionnaire Gestion de crise'!U6</f>
        <v/>
      </c>
      <c r="N4" s="151">
        <f>'Questionnaire Gestion Incidents'!U4</f>
        <v/>
      </c>
      <c r="O4" s="151">
        <f>'Questionnaire Confirmitee'!V6</f>
        <v/>
      </c>
      <c r="P4" s="122">
        <f>'Questionnaire Gouvernance '!X4</f>
        <v/>
      </c>
    </row>
    <row r="5" ht="14.55" customHeight="1" s="158">
      <c r="A5" s="105" t="inlineStr">
        <is>
          <t xml:space="preserve"> Gestion Incidents</t>
        </is>
      </c>
      <c r="B5" s="97">
        <f>'Questionnaire Gestion Incidents'!$P$2</f>
        <v/>
      </c>
      <c r="C5" s="88">
        <f>'Questionnaire Gestion Incidents'!$R$2</f>
        <v/>
      </c>
      <c r="D5" s="97">
        <f>'Questionnaire Gestion Incidents'!$N$2</f>
        <v/>
      </c>
      <c r="E5" s="97">
        <f>'Questionnaire Gestion Incidents'!$N$3</f>
        <v/>
      </c>
      <c r="F5" s="97">
        <f>'Questionnaire Gestion Incidents'!$N$4</f>
        <v/>
      </c>
      <c r="G5" s="96">
        <f>'Questionnaire Gestion Incidents'!$L$2</f>
        <v/>
      </c>
      <c r="H5" s="98">
        <f>PONDERATION!$L$17</f>
        <v/>
      </c>
      <c r="I5" s="100">
        <f>'Questionnaire Gestion Incidents'!$N$5</f>
        <v/>
      </c>
      <c r="K5" s="151">
        <f>'Questionnaire Domain Forensics'!W7</f>
        <v/>
      </c>
      <c r="L5" s="151">
        <f>'Question Continuité d’activité'!W7</f>
        <v/>
      </c>
      <c r="M5" s="151">
        <f>'Questionnaire Gestion de crise'!U7</f>
        <v/>
      </c>
      <c r="N5" s="151">
        <f>'Questionnaire Gestion Incidents'!U5</f>
        <v/>
      </c>
      <c r="O5" s="151">
        <f>'Questionnaire Confirmitee'!V7</f>
        <v/>
      </c>
      <c r="P5" s="122">
        <f>'Questionnaire Gouvernance '!X5</f>
        <v/>
      </c>
    </row>
    <row r="6" ht="14.55" customHeight="1" s="158">
      <c r="A6" s="105" t="inlineStr">
        <is>
          <t>Confirmitee</t>
        </is>
      </c>
      <c r="B6" s="88">
        <f>'Questionnaire Confirmitee'!$L$3</f>
        <v/>
      </c>
      <c r="C6" s="88">
        <f>'Questionnaire Confirmitee'!$Q$3</f>
        <v/>
      </c>
      <c r="D6" s="88">
        <f>'Questionnaire Confirmitee'!$N$3</f>
        <v/>
      </c>
      <c r="E6" s="88">
        <f>'Questionnaire Confirmitee'!$O$3</f>
        <v/>
      </c>
      <c r="F6" s="88">
        <f>'Questionnaire Confirmitee'!$P$3</f>
        <v/>
      </c>
      <c r="G6" s="96">
        <f>'Questionnaire Confirmitee'!$R$3</f>
        <v/>
      </c>
      <c r="H6" s="98">
        <f>PONDERATION!$L$21</f>
        <v/>
      </c>
      <c r="I6" s="100">
        <f>'Questionnaire Confirmitee'!$M$7</f>
        <v/>
      </c>
      <c r="K6" s="180">
        <f>'Questionnaire Domain Forensics'!W8</f>
        <v/>
      </c>
      <c r="L6" s="151">
        <f>'Question Continuité d’activité'!W8</f>
        <v/>
      </c>
      <c r="M6" s="151">
        <f>'Questionnaire Gestion de crise'!U8</f>
        <v/>
      </c>
      <c r="N6" s="151">
        <f>'Questionnaire Gestion Incidents'!U6</f>
        <v/>
      </c>
      <c r="O6" s="151">
        <f>'Questionnaire Confirmitee'!V8</f>
        <v/>
      </c>
      <c r="P6" s="122">
        <f>'Questionnaire Gouvernance '!X6</f>
        <v/>
      </c>
    </row>
    <row r="7" ht="14.55" customHeight="1" s="158">
      <c r="A7" s="101" t="inlineStr">
        <is>
          <t xml:space="preserve">Gouvernance </t>
        </is>
      </c>
      <c r="B7" s="102">
        <f>'Questionnaire Gouvernance '!$Q$2</f>
        <v/>
      </c>
      <c r="C7" s="102">
        <f>'Questionnaire Gouvernance '!$S$2</f>
        <v/>
      </c>
      <c r="D7" s="102">
        <f>'Questionnaire Gouvernance '!$O$2</f>
        <v/>
      </c>
      <c r="E7" s="102">
        <f>'Questionnaire Gouvernance '!$O$3</f>
        <v/>
      </c>
      <c r="F7" s="102">
        <f>'Questionnaire Gouvernance '!$O$4</f>
        <v/>
      </c>
      <c r="G7" s="103">
        <f>'Questionnaire Gouvernance '!$L$2</f>
        <v/>
      </c>
      <c r="H7" s="104">
        <f>PONDERATION!$L$16</f>
        <v/>
      </c>
      <c r="I7" s="100">
        <f>'Questionnaire Gouvernance '!$U$2</f>
        <v/>
      </c>
      <c r="K7" s="151">
        <f>'Questionnaire Domain Forensics'!W9</f>
        <v/>
      </c>
      <c r="L7" s="151">
        <f>'Question Continuité d’activité'!W9</f>
        <v/>
      </c>
      <c r="M7" s="151">
        <f>'Questionnaire Gestion de crise'!U9</f>
        <v/>
      </c>
      <c r="N7" s="151">
        <f>'Questionnaire Gestion Incidents'!U7</f>
        <v/>
      </c>
      <c r="O7" s="151">
        <f>'Questionnaire Confirmitee'!V9</f>
        <v/>
      </c>
      <c r="P7" s="122">
        <f>'Questionnaire Gouvernance '!X7</f>
        <v/>
      </c>
    </row>
    <row r="8" ht="15" customHeight="1" s="158">
      <c r="A8" s="105" t="inlineStr">
        <is>
          <t>Result</t>
        </is>
      </c>
      <c r="B8" s="14">
        <f>SUM(B2:B7)</f>
        <v/>
      </c>
      <c r="C8" s="14">
        <f>SUM(C2:C7)</f>
        <v/>
      </c>
      <c r="D8" s="14">
        <f>SUM(D2:D7)</f>
        <v/>
      </c>
      <c r="E8" s="14">
        <f>SUM(E2:E7)</f>
        <v/>
      </c>
      <c r="F8" s="14">
        <f>SUM(F2:F7)</f>
        <v/>
      </c>
      <c r="G8" s="106">
        <f>G2*H2+G3*H3+G4*H4+G5*H5+G6*H6+G7*H7</f>
        <v/>
      </c>
      <c r="H8" s="14">
        <f>SUM(H2:H7)</f>
        <v/>
      </c>
      <c r="K8" s="151">
        <f>'Questionnaire Domain Forensics'!W10</f>
        <v/>
      </c>
      <c r="L8" s="151">
        <f>'Question Continuité d’activité'!W10</f>
        <v/>
      </c>
      <c r="M8" s="151">
        <f>'Questionnaire Gestion de crise'!U10</f>
        <v/>
      </c>
      <c r="N8" s="151">
        <f>'Questionnaire Gestion Incidents'!U8</f>
        <v/>
      </c>
      <c r="O8" s="151">
        <f>'Questionnaire Confirmitee'!V10</f>
        <v/>
      </c>
      <c r="P8" s="122">
        <f>'Questionnaire Gouvernance '!X8</f>
        <v/>
      </c>
    </row>
    <row r="9" ht="72" customHeight="1" s="158">
      <c r="K9" s="151">
        <f>'Questionnaire Domain Forensics'!W11</f>
        <v/>
      </c>
      <c r="L9" s="151">
        <f>'Question Continuité d’activité'!W11</f>
        <v/>
      </c>
      <c r="M9" s="151">
        <f>'Questionnaire Gestion de crise'!U11</f>
        <v/>
      </c>
      <c r="N9" s="151">
        <f>'Questionnaire Gestion Incidents'!U9</f>
        <v/>
      </c>
      <c r="O9" s="151">
        <f>'Questionnaire Confirmitee'!V11</f>
        <v/>
      </c>
      <c r="P9" s="122">
        <f>'Questionnaire Gouvernance '!X9</f>
        <v/>
      </c>
    </row>
    <row r="10" ht="72" customHeight="1" s="158">
      <c r="A10" s="111" t="n"/>
      <c r="B10" s="111" t="n"/>
      <c r="C10" s="111" t="n"/>
      <c r="D10" s="111" t="n"/>
      <c r="E10" s="111" t="n"/>
      <c r="F10" s="111" t="n"/>
      <c r="K10" s="151" t="n"/>
      <c r="L10" s="151">
        <f>'Question Continuité d’activité'!W12</f>
        <v/>
      </c>
      <c r="M10" s="151">
        <f>'Questionnaire Gestion de crise'!U12</f>
        <v/>
      </c>
      <c r="N10" s="151">
        <f>'Questionnaire Gestion Incidents'!U10</f>
        <v/>
      </c>
      <c r="O10" s="151" t="n"/>
      <c r="P10" s="122">
        <f>'Questionnaire Gouvernance '!X10</f>
        <v/>
      </c>
    </row>
    <row r="11" ht="43.2" customHeight="1" s="158">
      <c r="A11" s="180" t="inlineStr">
        <is>
          <t>id</t>
        </is>
      </c>
      <c r="B11" s="180" t="inlineStr">
        <is>
          <t>label</t>
        </is>
      </c>
      <c r="C11" s="180" t="inlineStr">
        <is>
          <t>min_score</t>
        </is>
      </c>
      <c r="D11" s="180" t="inlineStr">
        <is>
          <t>max_score</t>
        </is>
      </c>
      <c r="E11" s="180" t="inlineStr">
        <is>
          <t>order</t>
        </is>
      </c>
      <c r="F11" s="94" t="n"/>
      <c r="K11" s="151" t="n"/>
      <c r="L11" s="151">
        <f>'Question Continuité d’activité'!W13</f>
        <v/>
      </c>
      <c r="M11" s="151">
        <f>'Questionnaire Gestion de crise'!U13</f>
        <v/>
      </c>
      <c r="N11" s="151">
        <f>'Questionnaire Gestion Incidents'!U11</f>
        <v/>
      </c>
      <c r="O11" s="151" t="n"/>
      <c r="P11" s="122">
        <f>'Questionnaire Gouvernance '!X11</f>
        <v/>
      </c>
    </row>
    <row r="12" ht="72" customHeight="1" s="158">
      <c r="A12" s="95" t="n">
        <v>1</v>
      </c>
      <c r="B12" s="35" t="inlineStr">
        <is>
          <t>Incomplet</t>
        </is>
      </c>
      <c r="C12" s="178" t="n">
        <v>0</v>
      </c>
      <c r="D12" s="178" t="n">
        <v>16</v>
      </c>
      <c r="E12" s="178" t="n">
        <v>1</v>
      </c>
      <c r="K12" s="5" t="n"/>
      <c r="L12" s="35">
        <f>'Question Continuité d’activité'!W14</f>
        <v/>
      </c>
      <c r="M12" s="35">
        <f>'Questionnaire Gestion de crise'!U14</f>
        <v/>
      </c>
      <c r="N12" s="35">
        <f>'Questionnaire Gestion Incidents'!U12</f>
        <v/>
      </c>
      <c r="O12" s="5" t="n"/>
      <c r="P12" s="139">
        <f>'Questionnaire Gouvernance '!X12</f>
        <v/>
      </c>
    </row>
    <row r="13" ht="43.2" customHeight="1" s="158">
      <c r="A13" s="95" t="n">
        <v>2</v>
      </c>
      <c r="B13" s="35" t="inlineStr">
        <is>
          <t>Exécuté</t>
        </is>
      </c>
      <c r="C13" s="178" t="n">
        <v>17</v>
      </c>
      <c r="D13" s="178" t="n">
        <v>33</v>
      </c>
      <c r="E13" s="178" t="n">
        <v>2</v>
      </c>
      <c r="K13" s="5" t="n"/>
      <c r="L13" s="35">
        <f>'Question Continuité d’activité'!W15</f>
        <v/>
      </c>
      <c r="M13" s="35">
        <f>'Questionnaire Gestion de crise'!U15</f>
        <v/>
      </c>
      <c r="N13" s="35">
        <f>'Questionnaire Gestion Incidents'!U13</f>
        <v/>
      </c>
      <c r="O13" s="5" t="n"/>
      <c r="P13" s="139">
        <f>'Questionnaire Gouvernance '!X13</f>
        <v/>
      </c>
    </row>
    <row r="14" ht="100.8" customHeight="1" s="158">
      <c r="A14" s="95" t="n">
        <v>3</v>
      </c>
      <c r="B14" s="35" t="inlineStr">
        <is>
          <t>Maîtrisé</t>
        </is>
      </c>
      <c r="C14" s="178" t="n">
        <v>34</v>
      </c>
      <c r="D14" s="178" t="n">
        <v>51</v>
      </c>
      <c r="E14" s="178" t="n">
        <v>3</v>
      </c>
      <c r="K14" s="5" t="n"/>
      <c r="L14" s="35">
        <f>'Question Continuité d’activité'!W16</f>
        <v/>
      </c>
      <c r="M14" s="5" t="n"/>
      <c r="N14" s="35">
        <f>'Questionnaire Gestion Incidents'!U14</f>
        <v/>
      </c>
      <c r="O14" s="5" t="n"/>
      <c r="P14" s="139">
        <f>'Questionnaire Gouvernance '!X14</f>
        <v/>
      </c>
    </row>
    <row r="15" ht="43.2" customHeight="1" s="158">
      <c r="A15" s="95" t="n">
        <v>4</v>
      </c>
      <c r="B15" s="35" t="inlineStr">
        <is>
          <t>Établi</t>
        </is>
      </c>
      <c r="C15" s="178" t="n">
        <v>52</v>
      </c>
      <c r="D15" s="178" t="n">
        <v>68</v>
      </c>
      <c r="E15" s="178" t="n">
        <v>4</v>
      </c>
      <c r="K15" s="5" t="n"/>
      <c r="L15" s="35">
        <f>'Question Continuité d’activité'!W17</f>
        <v/>
      </c>
      <c r="M15" s="5" t="n"/>
      <c r="N15" s="35">
        <f>'Questionnaire Gestion Incidents'!U15</f>
        <v/>
      </c>
      <c r="O15" s="5" t="n"/>
      <c r="P15" s="139">
        <f>'Questionnaire Gouvernance '!X15</f>
        <v/>
      </c>
    </row>
    <row r="16" ht="72" customHeight="1" s="158">
      <c r="A16" s="95" t="n">
        <v>5</v>
      </c>
      <c r="B16" s="35" t="inlineStr">
        <is>
          <t>Prévisible</t>
        </is>
      </c>
      <c r="C16" s="178" t="n">
        <v>69</v>
      </c>
      <c r="D16" s="178" t="n">
        <v>85</v>
      </c>
      <c r="E16" s="178" t="n">
        <v>5</v>
      </c>
      <c r="K16" s="5" t="n"/>
      <c r="L16" s="35">
        <f>'Question Continuité d’activité'!W18</f>
        <v/>
      </c>
      <c r="M16" s="5" t="n"/>
      <c r="N16" s="35">
        <f>'Questionnaire Gestion Incidents'!U16</f>
        <v/>
      </c>
      <c r="O16" s="5" t="n"/>
      <c r="P16" s="139">
        <f>'Questionnaire Gouvernance '!X16</f>
        <v/>
      </c>
    </row>
    <row r="17" ht="100.8" customHeight="1" s="158">
      <c r="A17" s="95" t="n">
        <v>6</v>
      </c>
      <c r="B17" s="35" t="inlineStr">
        <is>
          <t>Optimisé</t>
        </is>
      </c>
      <c r="C17" s="178" t="n">
        <v>86</v>
      </c>
      <c r="D17" s="178" t="n">
        <v>100</v>
      </c>
      <c r="E17" s="178" t="n">
        <v>6</v>
      </c>
      <c r="K17" s="5" t="n"/>
      <c r="L17" s="35">
        <f>'Question Continuité d’activité'!W19</f>
        <v/>
      </c>
      <c r="M17" s="5" t="n"/>
      <c r="N17" s="35">
        <f>'Questionnaire Gestion Incidents'!U17</f>
        <v/>
      </c>
      <c r="O17" s="5" t="n"/>
      <c r="P17" s="139">
        <f>'Questionnaire Gouvernance '!X17</f>
        <v/>
      </c>
    </row>
    <row r="18">
      <c r="L18" s="59">
        <f>'Question Continuité d’activité'!W20</f>
        <v/>
      </c>
      <c r="N18" s="59">
        <f>'Questionnaire Gestion Incidents'!U18</f>
        <v/>
      </c>
      <c r="P18" s="121">
        <f>'Questionnaire Gouvernance '!X18</f>
        <v/>
      </c>
    </row>
    <row r="19">
      <c r="L19" s="59">
        <f>'Question Continuité d’activité'!W21</f>
        <v/>
      </c>
      <c r="N19" s="59">
        <f>'Questionnaire Gestion Incidents'!U19</f>
        <v/>
      </c>
      <c r="P19" s="121">
        <f>'Questionnaire Gouvernance '!X19</f>
        <v/>
      </c>
    </row>
    <row r="20">
      <c r="G20" s="111" t="n"/>
      <c r="L20" s="59">
        <f>'Question Continuité d’activité'!W22</f>
        <v/>
      </c>
      <c r="N20" s="59">
        <f>'Questionnaire Gestion Incidents'!U20</f>
        <v/>
      </c>
      <c r="P20" s="121">
        <f>'Questionnaire Gouvernance '!X20</f>
        <v/>
      </c>
    </row>
    <row r="40">
      <c r="B40" s="59">
        <f>'Question Continuité d’activité'!W23</f>
        <v/>
      </c>
      <c r="D40" s="59">
        <f>'Questionnaire Gestion Incidents'!U21</f>
        <v/>
      </c>
      <c r="F40" s="121">
        <f>'Questionnaire Gouvernance '!X21</f>
        <v/>
      </c>
    </row>
    <row r="41">
      <c r="B41" s="59">
        <f>'Question Continuité d’activité'!W24</f>
        <v/>
      </c>
      <c r="D41" s="59">
        <f>'Questionnaire Gestion Incidents'!U22</f>
        <v/>
      </c>
      <c r="F41" s="121">
        <f>'Questionnaire Gouvernance '!X22</f>
        <v/>
      </c>
    </row>
    <row r="42">
      <c r="B42" s="59">
        <f>'Question Continuité d’activité'!W25</f>
        <v/>
      </c>
      <c r="D42" s="59">
        <f>'Questionnaire Gestion Incidents'!U23</f>
        <v/>
      </c>
      <c r="F42" s="121">
        <f>'Questionnaire Gouvernance '!X23</f>
        <v/>
      </c>
    </row>
    <row r="43">
      <c r="D43" s="59">
        <f>'Questionnaire Gestion Incidents'!U24</f>
        <v/>
      </c>
      <c r="F43" s="121">
        <f>'Questionnaire Gouvernance '!X24</f>
        <v/>
      </c>
    </row>
    <row r="44">
      <c r="F44" s="121">
        <f>'Questionnaire Gouvernance '!X25</f>
        <v/>
      </c>
    </row>
    <row r="45">
      <c r="F45" s="121">
        <f>'Questionnaire Gouvernance '!X26</f>
        <v/>
      </c>
    </row>
    <row r="46">
      <c r="F46" s="121">
        <f>'Questionnaire Gouvernance '!X27</f>
        <v/>
      </c>
    </row>
    <row r="47">
      <c r="F47" s="121">
        <f>'Questionnaire Gouvernance '!X28</f>
        <v/>
      </c>
    </row>
    <row r="48">
      <c r="F48" s="121">
        <f>'Questionnaire Gouvernance '!X29</f>
        <v/>
      </c>
    </row>
    <row r="49">
      <c r="F49" s="121">
        <f>'Questionnaire Gouvernance '!X30</f>
        <v/>
      </c>
    </row>
    <row r="50">
      <c r="F50" s="121">
        <f>'Questionnaire Gouvernance '!X31</f>
        <v/>
      </c>
    </row>
    <row r="51">
      <c r="F51" s="121">
        <f>'Questionnaire Gouvernance '!X32</f>
        <v/>
      </c>
    </row>
    <row r="52">
      <c r="F52" s="121">
        <f>'Questionnaire Gouvernance '!X33</f>
        <v/>
      </c>
    </row>
    <row r="53">
      <c r="F53" s="121">
        <f>'Questionnaire Gouvernance '!X34</f>
        <v/>
      </c>
    </row>
    <row r="54">
      <c r="F54" s="121">
        <f>'Questionnaire Gouvernance '!X35</f>
        <v/>
      </c>
    </row>
    <row r="55">
      <c r="F55" s="121">
        <f>'Questionnaire Gouvernance '!X36</f>
        <v/>
      </c>
    </row>
  </sheetData>
  <pageMargins left="0.7" right="0.7" top="0.75" bottom="0.75" header="0.3" footer="0.3"/>
  <pageSetup orientation="portrait" paperSize="9" copies="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Ben Bouali, Dhia</dc:creator>
  <dcterms:created xsi:type="dcterms:W3CDTF">2015-06-05T18:17:20Z</dcterms:created>
  <dcterms:modified xsi:type="dcterms:W3CDTF">2026-06-10T16:08:14Z</dcterms:modified>
  <cp:lastModifiedBy>Adm Network Security</cp:lastModifiedBy>
  <cp:category>KPMG Public</cp:category>
</cp:coreProperties>
</file>

<file path=docProps/custom.xml><?xml version="1.0" encoding="utf-8"?>
<Properties xmlns:vt="http://schemas.openxmlformats.org/officeDocument/2006/docPropsVTypes" xmlns="http://schemas.openxmlformats.org/officeDocument/2006/custom-properties">
  <property name="KISConfidential" fmtid="{D5CDD505-2E9C-101B-9397-08002B2CF9AE}" pid="2">
    <vt:lpwstr>KPMG Public</vt:lpwstr>
  </property>
  <property name="KISConfidentialDesc" fmtid="{D5CDD505-2E9C-101B-9397-08002B2CF9AE}" pid="3">
    <vt:lpwstr/>
  </property>
  <property name="KISConfidentialShow" fmtid="{D5CDD505-2E9C-101B-9397-08002B2CF9AE}" pid="4">
    <vt:lpwstr>TRUE</vt:lpwstr>
  </property>
</Properties>
</file>